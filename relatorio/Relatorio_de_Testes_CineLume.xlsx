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Instrucoes" sheetId="1" state="visible" r:id="rId3"/>
    <sheet name="1_Identificacao" sheetId="2" state="visible" r:id="rId4"/>
    <sheet name="2_Smoke_Test" sheetId="3" state="visible" r:id="rId5"/>
    <sheet name="3_Revisao_Estatica" sheetId="4" state="visible" r:id="rId6"/>
    <sheet name="4_Plano_de_Testes" sheetId="5" state="visible" r:id="rId7"/>
    <sheet name="5_Casos_de_Teste" sheetId="6" state="visible" r:id="rId8"/>
    <sheet name="6_Bugs" sheetId="7" state="visible" r:id="rId9"/>
    <sheet name="7_Nao_Funcionais" sheetId="8" state="visible" r:id="rId10"/>
    <sheet name="8_Caixa_Branca" sheetId="9" state="visible" r:id="rId11"/>
    <sheet name="9_Automacao" sheetId="10" state="visible" r:id="rId12"/>
    <sheet name="10_Correcao" sheetId="11" state="visible" r:id="rId13"/>
    <sheet name="11_Relatorio_Final" sheetId="12" state="visible" r:id="rId14"/>
    <sheet name="12_Uso_de_IA" sheetId="13" state="visible" r:id="rId15"/>
    <sheet name="Listas" sheetId="14" state="hidden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<sst xmlns="http://schemas.openxmlformats.org/spreadsheetml/2006/main" count="585" uniqueCount="495">
  <si>
    <t xml:space="preserve">Relatório de Testes — CineLume v1.0</t>
  </si>
  <si>
    <t xml:space="preserve">Leia antes de começar.</t>
  </si>
  <si>
    <t xml:space="preserve">Como preencher</t>
  </si>
  <si>
    <t xml:space="preserve">1</t>
  </si>
  <si>
    <t xml:space="preserve">Preencha apenas as células amarelas. As células azuis trazem IDs fixos: não altere.</t>
  </si>
  <si>
    <t xml:space="preserve">2</t>
  </si>
  <si>
    <t xml:space="preserve">Não renomeie, apague, mova ou reordene abas, linhas de cabeçalho ou colunas.</t>
  </si>
  <si>
    <t xml:space="preserve">3</t>
  </si>
  <si>
    <t xml:space="preserve">Use as listas suspensas sempre que a célula tiver uma (RN, técnica, tipo, status, severidade).</t>
  </si>
  <si>
    <t xml:space="preserve">4</t>
  </si>
  <si>
    <t xml:space="preserve">A linha cinza de cada aba é um EXEMPLO. Deixe-a como está e comece na linha seguinte.</t>
  </si>
  <si>
    <t xml:space="preserve">5</t>
  </si>
  <si>
    <t xml:space="preserve">Todo caso de teste, bug e teste não-funcional cita a regra de negócio (RN) do REQUISITOS.md.</t>
  </si>
  <si>
    <t xml:space="preserve">6</t>
  </si>
  <si>
    <t xml:space="preserve">Relacione as abas pelos IDs: um caso que falhou aponta para o BUG; o bug aponta para o caso.</t>
  </si>
  <si>
    <t xml:space="preserve">7</t>
  </si>
  <si>
    <t xml:space="preserve">Prints vão em relatorio/evidencias/ com o nome do ID (ex.: BUG-03.png). Na coluna Evidência, escreva o nome do arquivo.</t>
  </si>
  <si>
    <t xml:space="preserve">8</t>
  </si>
  <si>
    <t xml:space="preserve">Renomeie este arquivo para Relatorio_de_Testes_CineLume_SeuNome.xlsx antes do primeiro commit.</t>
  </si>
  <si>
    <t xml:space="preserve">Abas e missões</t>
  </si>
  <si>
    <t xml:space="preserve">1_Identificacao</t>
  </si>
  <si>
    <t xml:space="preserve">Antes de começar</t>
  </si>
  <si>
    <t xml:space="preserve">2_Smoke_Test e 3_Revisao_Estatica</t>
  </si>
  <si>
    <t xml:space="preserve">Missão 1 — Reconhecimento</t>
  </si>
  <si>
    <t xml:space="preserve">4_Plano_de_Testes e 5_Casos_de_Teste</t>
  </si>
  <si>
    <t xml:space="preserve">Missão 2 — Planejamento (no mínimo 15 casos)</t>
  </si>
  <si>
    <t xml:space="preserve">5_Casos_de_Teste e 6_Bugs</t>
  </si>
  <si>
    <t xml:space="preserve">Missão 3 — Execução e registro de bugs (no mínimo 6 bugs)</t>
  </si>
  <si>
    <t xml:space="preserve">7_Nao_Funcionais</t>
  </si>
  <si>
    <t xml:space="preserve">Missão 4 — Testes não-funcionais (no mínimo 5)</t>
  </si>
  <si>
    <t xml:space="preserve">8_Caixa_Branca e 9_Automacao</t>
  </si>
  <si>
    <t xml:space="preserve">Missão 5 — Caixa branca e testes automáticos (no mínimo 8)</t>
  </si>
  <si>
    <t xml:space="preserve">10_Correcao</t>
  </si>
  <si>
    <t xml:space="preserve">Missão 6 — Correção, confirmação e regressão</t>
  </si>
  <si>
    <t xml:space="preserve">11_Relatorio_Final</t>
  </si>
  <si>
    <t xml:space="preserve">Missão 7 — Números (automáticos) e recomendação</t>
  </si>
  <si>
    <t xml:space="preserve">12_Uso_de_IA</t>
  </si>
  <si>
    <t xml:space="preserve">Sempre que usar IA</t>
  </si>
  <si>
    <t xml:space="preserve">Severidade</t>
  </si>
  <si>
    <t xml:space="preserve">Crítica</t>
  </si>
  <si>
    <t xml:space="preserve">Causa prejuízo financeiro, expõe dados ou impede a compra.</t>
  </si>
  <si>
    <t xml:space="preserve">Alta</t>
  </si>
  <si>
    <t xml:space="preserve">Cobra valor errado ou quebra uma regra de negócio importante, sem impedir a compra.</t>
  </si>
  <si>
    <t xml:space="preserve">Média</t>
  </si>
  <si>
    <t xml:space="preserve">Quebra uma regra secundária ou um limite, com contorno possível.</t>
  </si>
  <si>
    <t xml:space="preserve">Baixa</t>
  </si>
  <si>
    <t xml:space="preserve">Problema visual ou de formatação, sem efeito no valor cobrado.</t>
  </si>
  <si>
    <t xml:space="preserve">1. Identificação</t>
  </si>
  <si>
    <t xml:space="preserve">Preencha antes de começar a Missão 1.</t>
  </si>
  <si>
    <t xml:space="preserve">Nome completo</t>
  </si>
  <si>
    <t xml:space="preserve">Usuário do GitHub</t>
  </si>
  <si>
    <t xml:space="preserve">Link do repositório</t>
  </si>
  <si>
    <t xml:space="preserve">Ex.: https://github.com/usuario/cinelume-qa-nome-sobrenome</t>
  </si>
  <si>
    <t xml:space="preserve">Data</t>
  </si>
  <si>
    <t xml:space="preserve">dd/mm/aaaa</t>
  </si>
  <si>
    <t xml:space="preserve">Navegador e versão</t>
  </si>
  <si>
    <t xml:space="preserve">Ex.: Chrome 130</t>
  </si>
  <si>
    <t xml:space="preserve">Sistema operacional</t>
  </si>
  <si>
    <t xml:space="preserve">Ex.: Windows 11</t>
  </si>
  <si>
    <t xml:space="preserve">Hora de início</t>
  </si>
  <si>
    <t xml:space="preserve">hh:mm</t>
  </si>
  <si>
    <t xml:space="preserve">Hora de término</t>
  </si>
  <si>
    <t xml:space="preserve">2. Smoke test (Missão 1)</t>
  </si>
  <si>
    <t xml:space="preserve">Verificações rápidas: o sistema está estável o bastante para ser testado a fundo?</t>
  </si>
  <si>
    <t xml:space="preserve">ID</t>
  </si>
  <si>
    <t xml:space="preserve">Verificação</t>
  </si>
  <si>
    <t xml:space="preserve">Resultado</t>
  </si>
  <si>
    <t xml:space="preserve">Observação</t>
  </si>
  <si>
    <t xml:space="preserve">SMK-01</t>
  </si>
  <si>
    <t xml:space="preserve">A página abre sem erros no Console (F12)</t>
  </si>
  <si>
    <t xml:space="preserve">SMK-02</t>
  </si>
  <si>
    <t xml:space="preserve">Os 4 filmes aparecem, cada um com suas sessões</t>
  </si>
  <si>
    <t xml:space="preserve">SMK-03</t>
  </si>
  <si>
    <t xml:space="preserve">Ao escolher uma sessão, o mapa de assentos aparece</t>
  </si>
  <si>
    <t xml:space="preserve">SMK-04</t>
  </si>
  <si>
    <t xml:space="preserve">É possível escolher um assento e o resumo mostra um valor</t>
  </si>
  <si>
    <t xml:space="preserve">SMK-05</t>
  </si>
  <si>
    <t xml:space="preserve">É possível adicionar um item da bomboniere</t>
  </si>
  <si>
    <t xml:space="preserve">SMK-06</t>
  </si>
  <si>
    <t xml:space="preserve">O botão Aplicar do cupom responde</t>
  </si>
  <si>
    <t xml:space="preserve">SMK-07</t>
  </si>
  <si>
    <t xml:space="preserve">As formas de pagamento podem ser selecionadas</t>
  </si>
  <si>
    <t xml:space="preserve">SMK-08</t>
  </si>
  <si>
    <t xml:space="preserve">Com dados válidos, a compra chega à tela de confirmação</t>
  </si>
  <si>
    <t xml:space="preserve">Veredito</t>
  </si>
  <si>
    <t xml:space="preserve">Justificativa</t>
  </si>
  <si>
    <t xml:space="preserve">3. Revisão estática dos requisitos (Missão 1)</t>
  </si>
  <si>
    <t xml:space="preserve">Leia o REQUISITOS.md sem executar o sistema. Registre ambiguidades, lacunas, contradições ou regras que não dá para testar. Mínimo: 2.</t>
  </si>
  <si>
    <t xml:space="preserve">RN</t>
  </si>
  <si>
    <t xml:space="preserve">Trecho do requisito</t>
  </si>
  <si>
    <t xml:space="preserve">Tipo do problema</t>
  </si>
  <si>
    <t xml:space="preserve">Problema encontrado</t>
  </si>
  <si>
    <t xml:space="preserve">Pergunta ou sugestão ao cliente</t>
  </si>
  <si>
    <t xml:space="preserve">RE-00</t>
  </si>
  <si>
    <t xml:space="preserve">RN13</t>
  </si>
  <si>
    <t xml:space="preserve">"Celular (opcional)"</t>
  </si>
  <si>
    <t xml:space="preserve">Lacuna</t>
  </si>
  <si>
    <t xml:space="preserve">O requisito não diz qual formato o celular deve ter, nem se é validado quando preenchido.</t>
  </si>
  <si>
    <t xml:space="preserve">O celular deve ser validado quando informado? Qual formato?</t>
  </si>
  <si>
    <t xml:space="preserve">RE-01</t>
  </si>
  <si>
    <t xml:space="preserve">RE-02</t>
  </si>
  <si>
    <t xml:space="preserve">RE-03</t>
  </si>
  <si>
    <t xml:space="preserve">RE-04</t>
  </si>
  <si>
    <t xml:space="preserve">RE-05</t>
  </si>
  <si>
    <t xml:space="preserve">RE-06</t>
  </si>
  <si>
    <t xml:space="preserve">RE-07</t>
  </si>
  <si>
    <t xml:space="preserve">RE-08</t>
  </si>
  <si>
    <t xml:space="preserve">RE-09</t>
  </si>
  <si>
    <t xml:space="preserve">RE-10</t>
  </si>
  <si>
    <t xml:space="preserve">4. Plano de testes (Missão 2)</t>
  </si>
  <si>
    <t xml:space="preserve">Planeje antes de executar. Seja específico: o que será testado, como e quando o sistema está pronto.</t>
  </si>
  <si>
    <t xml:space="preserve">Objetivo do teste</t>
  </si>
  <si>
    <t xml:space="preserve">Itens que serão testados (escopo)</t>
  </si>
  <si>
    <t xml:space="preserve">Funcionalidades e regras</t>
  </si>
  <si>
    <t xml:space="preserve">Itens fora do escopo</t>
  </si>
  <si>
    <t xml:space="preserve">Estratégia</t>
  </si>
  <si>
    <t xml:space="preserve">Escolha na lista e justifique na linha seguinte</t>
  </si>
  <si>
    <t xml:space="preserve">Justificativa da estratégia</t>
  </si>
  <si>
    <t xml:space="preserve">Níveis de teste que serão usados</t>
  </si>
  <si>
    <t xml:space="preserve">Unitário, integração, sistema, aceitação</t>
  </si>
  <si>
    <t xml:space="preserve">Técnicas de modelagem que serão usadas</t>
  </si>
  <si>
    <t xml:space="preserve">Ex.: partição de equivalência, valor limite</t>
  </si>
  <si>
    <t xml:space="preserve">Ambiente de teste</t>
  </si>
  <si>
    <t xml:space="preserve">Navegador, sistema, ferramentas (DevTools, Lighthouse, VS Code)</t>
  </si>
  <si>
    <t xml:space="preserve">Critério de entrada</t>
  </si>
  <si>
    <t xml:space="preserve">Quando o teste pode começar?</t>
  </si>
  <si>
    <t xml:space="preserve">Critério de saída</t>
  </si>
  <si>
    <t xml:space="preserve">Quando o sistema pode ser lançado? Use a seção 6 do REQUISITOS.md</t>
  </si>
  <si>
    <t xml:space="preserve">Riscos do teste</t>
  </si>
  <si>
    <t xml:space="preserve">O que pode atrapalhar ou o que pode ficar de fora</t>
  </si>
  <si>
    <t xml:space="preserve">Tipos de teste previstos</t>
  </si>
  <si>
    <t xml:space="preserve">Tipo de teste</t>
  </si>
  <si>
    <t xml:space="preserve">Será executado?</t>
  </si>
  <si>
    <t xml:space="preserve">Justificativa ou RN relacionada</t>
  </si>
  <si>
    <t xml:space="preserve">Funcional</t>
  </si>
  <si>
    <t xml:space="preserve">Regressão</t>
  </si>
  <si>
    <t xml:space="preserve">Confirmação</t>
  </si>
  <si>
    <t xml:space="preserve">Exploratório</t>
  </si>
  <si>
    <t xml:space="preserve">Desempenho</t>
  </si>
  <si>
    <t xml:space="preserve">Carga</t>
  </si>
  <si>
    <t xml:space="preserve">Estresse</t>
  </si>
  <si>
    <t xml:space="preserve">Volume</t>
  </si>
  <si>
    <t xml:space="preserve">Segurança</t>
  </si>
  <si>
    <t xml:space="preserve">Recuperação</t>
  </si>
  <si>
    <t xml:space="preserve">Acessibilidade</t>
  </si>
  <si>
    <t xml:space="preserve">Aceitação</t>
  </si>
  <si>
    <t xml:space="preserve">5. Casos de teste (Missões 2 e 3)</t>
  </si>
  <si>
    <t xml:space="preserve">M2: preencha as colunas B a K (projeto do caso). M3: execute e preencha L a O. Mínimo: 15 casos, pelo menos 5 de valor limite.</t>
  </si>
  <si>
    <t xml:space="preserve">CA</t>
  </si>
  <si>
    <t xml:space="preserve">Técnica</t>
  </si>
  <si>
    <t xml:space="preserve">Nível</t>
  </si>
  <si>
    <t xml:space="preserve">Título</t>
  </si>
  <si>
    <t xml:space="preserve">Pré-condições</t>
  </si>
  <si>
    <t xml:space="preserve">Passos</t>
  </si>
  <si>
    <t xml:space="preserve">Dados de entrada</t>
  </si>
  <si>
    <t xml:space="preserve">Resultado esperado</t>
  </si>
  <si>
    <t xml:space="preserve">Resultado obtido</t>
  </si>
  <si>
    <t xml:space="preserve">Status</t>
  </si>
  <si>
    <t xml:space="preserve">Bug relacionado</t>
  </si>
  <si>
    <t xml:space="preserve">Evidência</t>
  </si>
  <si>
    <t xml:space="preserve">CT-00</t>
  </si>
  <si>
    <t xml:space="preserve">CA13.3</t>
  </si>
  <si>
    <t xml:space="preserve">Partição de equivalência</t>
  </si>
  <si>
    <t xml:space="preserve">Sistema</t>
  </si>
  <si>
    <t xml:space="preserve">E-mail sem @ é recusado</t>
  </si>
  <si>
    <t xml:space="preserve">Sessão e 1 assento escolhidos; nome e CPF válidos</t>
  </si>
  <si>
    <t xml:space="preserve">1. Digitar o e-mail
2. Escolher Pix
3. Clicar em Confirmar compra</t>
  </si>
  <si>
    <t xml:space="preserve">E-mail: ana.exemplo.com</t>
  </si>
  <si>
    <t xml:space="preserve">Compra não confirmada; mensagem "Informe um e-mail válido."</t>
  </si>
  <si>
    <t xml:space="preserve">Mensagem exibida; compra não confirmada</t>
  </si>
  <si>
    <t xml:space="preserve">Passou</t>
  </si>
  <si>
    <t xml:space="preserve">CT-01</t>
  </si>
  <si>
    <t xml:space="preserve">CT-02</t>
  </si>
  <si>
    <t xml:space="preserve">CT-03</t>
  </si>
  <si>
    <t xml:space="preserve">CT-04</t>
  </si>
  <si>
    <t xml:space="preserve">CT-05</t>
  </si>
  <si>
    <t xml:space="preserve">CT-06</t>
  </si>
  <si>
    <t xml:space="preserve">CT-07</t>
  </si>
  <si>
    <t xml:space="preserve">CT-08</t>
  </si>
  <si>
    <t xml:space="preserve">CT-09</t>
  </si>
  <si>
    <t xml:space="preserve">CT-10</t>
  </si>
  <si>
    <t xml:space="preserve">CT-11</t>
  </si>
  <si>
    <t xml:space="preserve">CT-12</t>
  </si>
  <si>
    <t xml:space="preserve">CT-13</t>
  </si>
  <si>
    <t xml:space="preserve">CT-14</t>
  </si>
  <si>
    <t xml:space="preserve">CT-15</t>
  </si>
  <si>
    <t xml:space="preserve">CT-16</t>
  </si>
  <si>
    <t xml:space="preserve">CT-17</t>
  </si>
  <si>
    <t xml:space="preserve">CT-18</t>
  </si>
  <si>
    <t xml:space="preserve">CT-19</t>
  </si>
  <si>
    <t xml:space="preserve">CT-20</t>
  </si>
  <si>
    <t xml:space="preserve">CT-21</t>
  </si>
  <si>
    <t xml:space="preserve">CT-22</t>
  </si>
  <si>
    <t xml:space="preserve">CT-23</t>
  </si>
  <si>
    <t xml:space="preserve">CT-24</t>
  </si>
  <si>
    <t xml:space="preserve">CT-25</t>
  </si>
  <si>
    <t xml:space="preserve">CT-26</t>
  </si>
  <si>
    <t xml:space="preserve">CT-27</t>
  </si>
  <si>
    <t xml:space="preserve">CT-28</t>
  </si>
  <si>
    <t xml:space="preserve">CT-29</t>
  </si>
  <si>
    <t xml:space="preserve">CT-30</t>
  </si>
  <si>
    <t xml:space="preserve">CT-31</t>
  </si>
  <si>
    <t xml:space="preserve">CT-32</t>
  </si>
  <si>
    <t xml:space="preserve">CT-33</t>
  </si>
  <si>
    <t xml:space="preserve">CT-34</t>
  </si>
  <si>
    <t xml:space="preserve">CT-35</t>
  </si>
  <si>
    <t xml:space="preserve">CT-36</t>
  </si>
  <si>
    <t xml:space="preserve">CT-37</t>
  </si>
  <si>
    <t xml:space="preserve">CT-38</t>
  </si>
  <si>
    <t xml:space="preserve">CT-39</t>
  </si>
  <si>
    <t xml:space="preserve">CT-40</t>
  </si>
  <si>
    <t xml:space="preserve">6. Relatórios de bug (Missão 3 em diante)</t>
  </si>
  <si>
    <t xml:space="preserve">Um bug por linha. Passos precisam permitir que outra pessoa reproduza. Mínimo: 6 bugs, cada um com evidência.</t>
  </si>
  <si>
    <t xml:space="preserve">RN violada</t>
  </si>
  <si>
    <t xml:space="preserve">Caso de teste</t>
  </si>
  <si>
    <t xml:space="preserve">Prioridade</t>
  </si>
  <si>
    <t xml:space="preserve">Passos para reproduzir</t>
  </si>
  <si>
    <t xml:space="preserve">Dados usados</t>
  </si>
  <si>
    <t xml:space="preserve">Status do bug</t>
  </si>
  <si>
    <t xml:space="preserve">Missão</t>
  </si>
  <si>
    <t xml:space="preserve">BUG-00</t>
  </si>
  <si>
    <t xml:space="preserve">EXEMPLO FICTÍCIO: cupom inexistente não mostra mensagem</t>
  </si>
  <si>
    <t xml:space="preserve">RN10</t>
  </si>
  <si>
    <t xml:space="preserve">CA10.4</t>
  </si>
  <si>
    <t xml:space="preserve">1. Escolher uma sessão e 1 assento
2. Digitar XYZ no campo de cupom
3. Clicar em Aplicar</t>
  </si>
  <si>
    <t xml:space="preserve">Cupom: XYZ</t>
  </si>
  <si>
    <t xml:space="preserve">Mensagem "Cupom inválido."</t>
  </si>
  <si>
    <t xml:space="preserve">Nenhuma mensagem aparece</t>
  </si>
  <si>
    <t xml:space="preserve">BUG-00.png</t>
  </si>
  <si>
    <t xml:space="preserve">Aberto</t>
  </si>
  <si>
    <t xml:space="preserve">M3</t>
  </si>
  <si>
    <t xml:space="preserve">BUG-01</t>
  </si>
  <si>
    <t xml:space="preserve">BUG-02</t>
  </si>
  <si>
    <t xml:space="preserve">BUG-03</t>
  </si>
  <si>
    <t xml:space="preserve">BUG-04</t>
  </si>
  <si>
    <t xml:space="preserve">BUG-05</t>
  </si>
  <si>
    <t xml:space="preserve">BUG-06</t>
  </si>
  <si>
    <t xml:space="preserve">BUG-07</t>
  </si>
  <si>
    <t xml:space="preserve">BUG-08</t>
  </si>
  <si>
    <t xml:space="preserve">BUG-09</t>
  </si>
  <si>
    <t xml:space="preserve">BUG-10</t>
  </si>
  <si>
    <t xml:space="preserve">BUG-11</t>
  </si>
  <si>
    <t xml:space="preserve">BUG-12</t>
  </si>
  <si>
    <t xml:space="preserve">BUG-13</t>
  </si>
  <si>
    <t xml:space="preserve">BUG-14</t>
  </si>
  <si>
    <t xml:space="preserve">BUG-15</t>
  </si>
  <si>
    <t xml:space="preserve">BUG-16</t>
  </si>
  <si>
    <t xml:space="preserve">BUG-17</t>
  </si>
  <si>
    <t xml:space="preserve">BUG-18</t>
  </si>
  <si>
    <t xml:space="preserve">BUG-19</t>
  </si>
  <si>
    <t xml:space="preserve">BUG-20</t>
  </si>
  <si>
    <t xml:space="preserve">BUG-21</t>
  </si>
  <si>
    <t xml:space="preserve">BUG-22</t>
  </si>
  <si>
    <t xml:space="preserve">BUG-23</t>
  </si>
  <si>
    <t xml:space="preserve">BUG-24</t>
  </si>
  <si>
    <t xml:space="preserve">BUG-25</t>
  </si>
  <si>
    <t xml:space="preserve">BUG-26</t>
  </si>
  <si>
    <t xml:space="preserve">BUG-27</t>
  </si>
  <si>
    <t xml:space="preserve">BUG-28</t>
  </si>
  <si>
    <t xml:space="preserve">BUG-29</t>
  </si>
  <si>
    <t xml:space="preserve">BUG-30</t>
  </si>
  <si>
    <t xml:space="preserve">7. Testes não-funcionais (Missão 4)</t>
  </si>
  <si>
    <t xml:space="preserve">Cada teste tem uma medida (número, contagem ou observação objetiva) e um critério. Mínimo: 5 testes, de tipos diferentes, com evidência.</t>
  </si>
  <si>
    <t xml:space="preserve">O que foi medido</t>
  </si>
  <si>
    <t xml:space="preserve">Como testou (ferramenta e passos)</t>
  </si>
  <si>
    <t xml:space="preserve">Valor obtido</t>
  </si>
  <si>
    <t xml:space="preserve">Critério de aceitação</t>
  </si>
  <si>
    <t xml:space="preserve">NF-00</t>
  </si>
  <si>
    <t xml:space="preserve">RN17</t>
  </si>
  <si>
    <t xml:space="preserve">Tempo para calcular 1.000 pedidos</t>
  </si>
  <si>
    <t xml:space="preserve">Console: console.time + laço com atualizarResumo() 1.000 vezes</t>
  </si>
  <si>
    <t xml:space="preserve">42 ms</t>
  </si>
  <si>
    <t xml:space="preserve">Até 1.000 ms</t>
  </si>
  <si>
    <t xml:space="preserve">NF-00.png</t>
  </si>
  <si>
    <t xml:space="preserve">NF-01</t>
  </si>
  <si>
    <t xml:space="preserve">NF-02</t>
  </si>
  <si>
    <t xml:space="preserve">NF-03</t>
  </si>
  <si>
    <t xml:space="preserve">NF-04</t>
  </si>
  <si>
    <t xml:space="preserve">NF-05</t>
  </si>
  <si>
    <t xml:space="preserve">NF-06</t>
  </si>
  <si>
    <t xml:space="preserve">NF-07</t>
  </si>
  <si>
    <t xml:space="preserve">NF-08</t>
  </si>
  <si>
    <t xml:space="preserve">NF-09</t>
  </si>
  <si>
    <t xml:space="preserve">NF-10</t>
  </si>
  <si>
    <t xml:space="preserve">NF-11</t>
  </si>
  <si>
    <t xml:space="preserve">NF-12</t>
  </si>
  <si>
    <t xml:space="preserve">NF-13</t>
  </si>
  <si>
    <t xml:space="preserve">NF-14</t>
  </si>
  <si>
    <t xml:space="preserve">NF-15</t>
  </si>
  <si>
    <t xml:space="preserve">8. Teste de caixa branca (Missão 5)</t>
  </si>
  <si>
    <t xml:space="preserve">Leia js/regras.js. Para cada condição (if) das funções escolhidas, registre uma entrada que passe por aquele caminho e compare com a RN.</t>
  </si>
  <si>
    <t xml:space="preserve">Função</t>
  </si>
  <si>
    <t xml:space="preserve">Condição ou trecho analisado</t>
  </si>
  <si>
    <t xml:space="preserve">Caminho coberto</t>
  </si>
  <si>
    <t xml:space="preserve">Entrada usada</t>
  </si>
  <si>
    <t xml:space="preserve">Resultado esperado (pela RN)</t>
  </si>
  <si>
    <t xml:space="preserve">CB-00</t>
  </si>
  <si>
    <t xml:space="preserve">validarNome</t>
  </si>
  <si>
    <t xml:space="preserve">nome.trim().length &gt;= 3</t>
  </si>
  <si>
    <t xml:space="preserve">Condição falsa</t>
  </si>
  <si>
    <t xml:space="preserve">validarNome("Al")</t>
  </si>
  <si>
    <t xml:space="preserve">false (RN13: mínimo de 3 caracteres)</t>
  </si>
  <si>
    <t xml:space="preserve">false</t>
  </si>
  <si>
    <t xml:space="preserve">CB-01</t>
  </si>
  <si>
    <t xml:space="preserve">CB-02</t>
  </si>
  <si>
    <t xml:space="preserve">CB-03</t>
  </si>
  <si>
    <t xml:space="preserve">CB-04</t>
  </si>
  <si>
    <t xml:space="preserve">CB-05</t>
  </si>
  <si>
    <t xml:space="preserve">CB-06</t>
  </si>
  <si>
    <t xml:space="preserve">CB-07</t>
  </si>
  <si>
    <t xml:space="preserve">CB-08</t>
  </si>
  <si>
    <t xml:space="preserve">CB-09</t>
  </si>
  <si>
    <t xml:space="preserve">CB-10</t>
  </si>
  <si>
    <t xml:space="preserve">CB-11</t>
  </si>
  <si>
    <t xml:space="preserve">CB-12</t>
  </si>
  <si>
    <t xml:space="preserve">CB-13</t>
  </si>
  <si>
    <t xml:space="preserve">CB-14</t>
  </si>
  <si>
    <t xml:space="preserve">CB-15</t>
  </si>
  <si>
    <t xml:space="preserve">CB-16</t>
  </si>
  <si>
    <t xml:space="preserve">CB-17</t>
  </si>
  <si>
    <t xml:space="preserve">CB-18</t>
  </si>
  <si>
    <t xml:space="preserve">CB-19</t>
  </si>
  <si>
    <t xml:space="preserve">CB-20</t>
  </si>
  <si>
    <t xml:space="preserve">9. Testes automáticos (Missão 5)</t>
  </si>
  <si>
    <t xml:space="preserve">Cada linha corresponde a um testar(...) em testes/testes.html, com o mesmo ID. Mínimo: 8 testes.</t>
  </si>
  <si>
    <t xml:space="preserve">Função testada</t>
  </si>
  <si>
    <t xml:space="preserve">O que o teste verifica</t>
  </si>
  <si>
    <t xml:space="preserve">Chamada usada no testes.html</t>
  </si>
  <si>
    <t xml:space="preserve">Esperado</t>
  </si>
  <si>
    <t xml:space="preserve">Obtido</t>
  </si>
  <si>
    <t xml:space="preserve">Resultado no testes.html</t>
  </si>
  <si>
    <t xml:space="preserve">AT-EX1</t>
  </si>
  <si>
    <t xml:space="preserve">validarEmail</t>
  </si>
  <si>
    <t xml:space="preserve">E-mail com @ e domínio é aceito</t>
  </si>
  <si>
    <t xml:space="preserve">testar('AT-EX1', '...', validarEmail('ana@exemplo.com'), true);</t>
  </si>
  <si>
    <t xml:space="preserve">true</t>
  </si>
  <si>
    <t xml:space="preserve">AT01</t>
  </si>
  <si>
    <t xml:space="preserve">AT02</t>
  </si>
  <si>
    <t xml:space="preserve">AT03</t>
  </si>
  <si>
    <t xml:space="preserve">AT04</t>
  </si>
  <si>
    <t xml:space="preserve">AT05</t>
  </si>
  <si>
    <t xml:space="preserve">AT06</t>
  </si>
  <si>
    <t xml:space="preserve">AT07</t>
  </si>
  <si>
    <t xml:space="preserve">AT08</t>
  </si>
  <si>
    <t xml:space="preserve">AT09</t>
  </si>
  <si>
    <t xml:space="preserve">AT10</t>
  </si>
  <si>
    <t xml:space="preserve">AT11</t>
  </si>
  <si>
    <t xml:space="preserve">AT12</t>
  </si>
  <si>
    <t xml:space="preserve">AT13</t>
  </si>
  <si>
    <t xml:space="preserve">AT14</t>
  </si>
  <si>
    <t xml:space="preserve">AT15</t>
  </si>
  <si>
    <t xml:space="preserve">AT16</t>
  </si>
  <si>
    <t xml:space="preserve">AT17</t>
  </si>
  <si>
    <t xml:space="preserve">AT18</t>
  </si>
  <si>
    <t xml:space="preserve">AT19</t>
  </si>
  <si>
    <t xml:space="preserve">AT20</t>
  </si>
  <si>
    <t xml:space="preserve">10. Correção, confirmação e regressão (Missão 6)</t>
  </si>
  <si>
    <t xml:space="preserve">Corrija pelo menos 1 bug. Depois confirme que ele sumiu e rode os testes automáticos de novo para ver se nada quebrou.</t>
  </si>
  <si>
    <t xml:space="preserve">Bug corrigido</t>
  </si>
  <si>
    <t xml:space="preserve">Arquivo</t>
  </si>
  <si>
    <t xml:space="preserve">Causa do defeito</t>
  </si>
  <si>
    <t xml:space="preserve">O que foi alterado</t>
  </si>
  <si>
    <t xml:space="preserve">Teste de confirmação (ID)</t>
  </si>
  <si>
    <t xml:space="preserve">Resultado da confirmação</t>
  </si>
  <si>
    <t xml:space="preserve">Regressão: testes passando antes</t>
  </si>
  <si>
    <t xml:space="preserve">Regressão: testes passando depois</t>
  </si>
  <si>
    <t xml:space="preserve">Algo quebrou?</t>
  </si>
  <si>
    <t xml:space="preserve">Hash do commit</t>
  </si>
  <si>
    <t xml:space="preserve">COR-01</t>
  </si>
  <si>
    <t xml:space="preserve">COR-02</t>
  </si>
  <si>
    <t xml:space="preserve">COR-03</t>
  </si>
  <si>
    <t xml:space="preserve">11. Relatório final (Missão 7)</t>
  </si>
  <si>
    <t xml:space="preserve">Os números da seção A são calculados sozinhos a partir das outras abas. Preencha a seção B.</t>
  </si>
  <si>
    <t xml:space="preserve">A. Números do teste</t>
  </si>
  <si>
    <t xml:space="preserve">Casos de teste escritos</t>
  </si>
  <si>
    <t xml:space="preserve">Casos que passaram</t>
  </si>
  <si>
    <t xml:space="preserve">Casos que falharam</t>
  </si>
  <si>
    <t xml:space="preserve">Casos bloqueados</t>
  </si>
  <si>
    <t xml:space="preserve">Casos não executados</t>
  </si>
  <si>
    <t xml:space="preserve">Taxa de aprovação dos casos executados</t>
  </si>
  <si>
    <t xml:space="preserve">Casos de valor limite</t>
  </si>
  <si>
    <t xml:space="preserve">Bugs registrados</t>
  </si>
  <si>
    <t xml:space="preserve">Bugs críticos</t>
  </si>
  <si>
    <t xml:space="preserve">Bugs altos</t>
  </si>
  <si>
    <t xml:space="preserve">Bugs médios</t>
  </si>
  <si>
    <t xml:space="preserve">Bugs baixos</t>
  </si>
  <si>
    <t xml:space="preserve">Bugs corrigidos</t>
  </si>
  <si>
    <t xml:space="preserve">Testes não-funcionais executados</t>
  </si>
  <si>
    <t xml:space="preserve">Testes não-funcionais que falharam</t>
  </si>
  <si>
    <t xml:space="preserve">Caminhos de caixa branca analisados</t>
  </si>
  <si>
    <t xml:space="preserve">Testes automáticos escritos</t>
  </si>
  <si>
    <t xml:space="preserve">Testes automáticos que passaram</t>
  </si>
  <si>
    <t xml:space="preserve">Testes automáticos que falharam</t>
  </si>
  <si>
    <t xml:space="preserve">B. Análise e recomendação</t>
  </si>
  <si>
    <t xml:space="preserve">Resumo executivo</t>
  </si>
  <si>
    <t xml:space="preserve">Até 5 linhas, para a diretoria do cinema</t>
  </si>
  <si>
    <t xml:space="preserve">Bug mais grave nº 1 (ID e motivo)</t>
  </si>
  <si>
    <t xml:space="preserve">Bug mais grave nº 2 (ID e motivo)</t>
  </si>
  <si>
    <t xml:space="preserve">Bug mais grave nº 3 (ID e motivo)</t>
  </si>
  <si>
    <t xml:space="preserve">Recomendação</t>
  </si>
  <si>
    <t xml:space="preserve">Escolha na lista</t>
  </si>
  <si>
    <t xml:space="preserve">Justificativa da recomendação</t>
  </si>
  <si>
    <t xml:space="preserve">Relacione com o critério de lançamento (seção 6 do REQUISITOS.md)</t>
  </si>
  <si>
    <t xml:space="preserve">O que ficou sem testar e qual o risco</t>
  </si>
  <si>
    <t xml:space="preserve">O que você faria diferente num próximo ciclo de testes</t>
  </si>
  <si>
    <t xml:space="preserve">12. Uso de inteligência artificial</t>
  </si>
  <si>
    <t xml:space="preserve">Se usou IA em qualquer missão, registre aqui. Se não usou, escreva "Não usei IA" na linha IA-01.</t>
  </si>
  <si>
    <t xml:space="preserve">Ferramenta</t>
  </si>
  <si>
    <t xml:space="preserve">Prompt usado</t>
  </si>
  <si>
    <t xml:space="preserve">O que a IA respondeu (resumo)</t>
  </si>
  <si>
    <t xml:space="preserve">O que você aproveitou</t>
  </si>
  <si>
    <t xml:space="preserve">O que você conferiu ou corrigiu</t>
  </si>
  <si>
    <t xml:space="preserve">IA-01</t>
  </si>
  <si>
    <t xml:space="preserve">IA-02</t>
  </si>
  <si>
    <t xml:space="preserve">IA-03</t>
  </si>
  <si>
    <t xml:space="preserve">IA-04</t>
  </si>
  <si>
    <t xml:space="preserve">IA-05</t>
  </si>
  <si>
    <t xml:space="preserve">IA-06</t>
  </si>
  <si>
    <t xml:space="preserve">IA-07</t>
  </si>
  <si>
    <t xml:space="preserve">IA-08</t>
  </si>
  <si>
    <t xml:space="preserve">IA-09</t>
  </si>
  <si>
    <t xml:space="preserve">IA-10</t>
  </si>
  <si>
    <t xml:space="preserve">Tecnica</t>
  </si>
  <si>
    <t xml:space="preserve">Tipo</t>
  </si>
  <si>
    <t xml:space="preserve">Nivel</t>
  </si>
  <si>
    <t xml:space="preserve">StatusBug</t>
  </si>
  <si>
    <t xml:space="preserve">SimNao</t>
  </si>
  <si>
    <t xml:space="preserve">Smoke</t>
  </si>
  <si>
    <t xml:space="preserve">Recomendacao</t>
  </si>
  <si>
    <t xml:space="preserve">Funcao</t>
  </si>
  <si>
    <t xml:space="preserve">Missao</t>
  </si>
  <si>
    <t xml:space="preserve">ProblemaReq</t>
  </si>
  <si>
    <t xml:space="preserve">Estrategia</t>
  </si>
  <si>
    <t xml:space="preserve">RN01</t>
  </si>
  <si>
    <t xml:space="preserve">Unitário</t>
  </si>
  <si>
    <t xml:space="preserve">Sim</t>
  </si>
  <si>
    <t xml:space="preserve">OK</t>
  </si>
  <si>
    <t xml:space="preserve">Apto para testes</t>
  </si>
  <si>
    <t xml:space="preserve">Lançar</t>
  </si>
  <si>
    <t xml:space="preserve">precoBaseSessao</t>
  </si>
  <si>
    <t xml:space="preserve">M1</t>
  </si>
  <si>
    <t xml:space="preserve">Ambiguidade</t>
  </si>
  <si>
    <t xml:space="preserve">Preventiva</t>
  </si>
  <si>
    <t xml:space="preserve">RN02</t>
  </si>
  <si>
    <t xml:space="preserve">Valor limite</t>
  </si>
  <si>
    <t xml:space="preserve">Integração</t>
  </si>
  <si>
    <t xml:space="preserve">Falhou</t>
  </si>
  <si>
    <t xml:space="preserve">Corrigido</t>
  </si>
  <si>
    <t xml:space="preserve">Não</t>
  </si>
  <si>
    <t xml:space="preserve">Não apto</t>
  </si>
  <si>
    <t xml:space="preserve">Lançar com ressalvas</t>
  </si>
  <si>
    <t xml:space="preserve">calcularIngressos</t>
  </si>
  <si>
    <t xml:space="preserve">M2</t>
  </si>
  <si>
    <t xml:space="preserve">Reativa</t>
  </si>
  <si>
    <t xml:space="preserve">RN03</t>
  </si>
  <si>
    <t xml:space="preserve">Tabela de decisão</t>
  </si>
  <si>
    <t xml:space="preserve">Bloqueado</t>
  </si>
  <si>
    <t xml:space="preserve">Corrigido e confirmado</t>
  </si>
  <si>
    <t xml:space="preserve">Não lançar</t>
  </si>
  <si>
    <t xml:space="preserve">calcularBomboniere</t>
  </si>
  <si>
    <t xml:space="preserve">Contradição</t>
  </si>
  <si>
    <t xml:space="preserve">Preventiva e reativa</t>
  </si>
  <si>
    <t xml:space="preserve">RN04</t>
  </si>
  <si>
    <t xml:space="preserve">Transição de estados</t>
  </si>
  <si>
    <t xml:space="preserve">Não executado</t>
  </si>
  <si>
    <t xml:space="preserve">Não reproduzido</t>
  </si>
  <si>
    <t xml:space="preserve">contarItens</t>
  </si>
  <si>
    <t xml:space="preserve">M4</t>
  </si>
  <si>
    <t xml:space="preserve">Não testável</t>
  </si>
  <si>
    <t xml:space="preserve">RN05</t>
  </si>
  <si>
    <t xml:space="preserve">calcularTaxa</t>
  </si>
  <si>
    <t xml:space="preserve">M5</t>
  </si>
  <si>
    <t xml:space="preserve">RN06</t>
  </si>
  <si>
    <t xml:space="preserve">Caixa branca</t>
  </si>
  <si>
    <t xml:space="preserve">calcularDescontoCupom</t>
  </si>
  <si>
    <t xml:space="preserve">M6</t>
  </si>
  <si>
    <t xml:space="preserve">RN07</t>
  </si>
  <si>
    <t xml:space="preserve">Revisão estática</t>
  </si>
  <si>
    <t xml:space="preserve">calcularParcelasMaximas</t>
  </si>
  <si>
    <t xml:space="preserve">M7</t>
  </si>
  <si>
    <t xml:space="preserve">RN08</t>
  </si>
  <si>
    <t xml:space="preserve">Outra</t>
  </si>
  <si>
    <t xml:space="preserve">RN09</t>
  </si>
  <si>
    <t xml:space="preserve">validarCPF</t>
  </si>
  <si>
    <t xml:space="preserve">RN11</t>
  </si>
  <si>
    <t xml:space="preserve">formatarMoeda</t>
  </si>
  <si>
    <t xml:space="preserve">RN12</t>
  </si>
  <si>
    <t xml:space="preserve">RN14</t>
  </si>
  <si>
    <t xml:space="preserve">Usabilidade</t>
  </si>
  <si>
    <t xml:space="preserve">RN15</t>
  </si>
  <si>
    <t xml:space="preserve">RN16</t>
  </si>
  <si>
    <t xml:space="preserve">RN18</t>
  </si>
  <si>
    <t xml:space="preserve">RN19</t>
  </si>
  <si>
    <t xml:space="preserve">RN20</t>
  </si>
  <si>
    <t xml:space="preserve">RN21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</si>
</sst>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44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1B24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 diagonalUp="false" diagonalDown="false"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 t="s">
        <v>15</v>
      </c>
      <c r="B11" s="4" t="s">
        <v>16</v>
      </c>
    </row>
    <row r="12" customFormat="false" ht="15" hidden="false" customHeight="false" outlineLevel="0" collapsed="false">
      <c r="A12" s="5" t="s">
        <v>17</v>
      </c>
      <c r="B12" s="4" t="s">
        <v>18</v>
      </c>
    </row>
    <row r="13" customFormat="false" ht="15" hidden="false" customHeight="false" outlineLevel="0" collapsed="false">
      <c r="A13" s="6"/>
      <c r="B13" s="4"/>
    </row>
    <row r="14" customFormat="false" ht="15" hidden="false" customHeight="false" outlineLevel="0" collapsed="false">
      <c r="A14" s="3" t="s">
        <v>19</v>
      </c>
      <c r="B14" s="4"/>
    </row>
    <row r="15" customFormat="false" ht="15" hidden="false" customHeight="false" outlineLevel="0" collapsed="false">
      <c r="A15" s="5" t="s">
        <v>20</v>
      </c>
      <c r="B15" s="4" t="s">
        <v>21</v>
      </c>
    </row>
    <row r="16" customFormat="false" ht="15" hidden="false" customHeight="false" outlineLevel="0" collapsed="false">
      <c r="A16" s="5" t="s">
        <v>22</v>
      </c>
      <c r="B16" s="4" t="s">
        <v>23</v>
      </c>
    </row>
    <row r="17" customFormat="false" ht="15" hidden="false" customHeight="false" outlineLevel="0" collapsed="false">
      <c r="A17" s="5" t="s">
        <v>24</v>
      </c>
      <c r="B17" s="4" t="s">
        <v>25</v>
      </c>
    </row>
    <row r="18" customFormat="false" ht="15" hidden="false" customHeight="false" outlineLevel="0" collapsed="false">
      <c r="A18" s="5" t="s">
        <v>26</v>
      </c>
      <c r="B18" s="4" t="s">
        <v>27</v>
      </c>
    </row>
    <row r="19" customFormat="false" ht="15" hidden="false" customHeight="false" outlineLevel="0" collapsed="false">
      <c r="A19" s="5" t="s">
        <v>28</v>
      </c>
      <c r="B19" s="4" t="s">
        <v>29</v>
      </c>
    </row>
    <row r="20" customFormat="false" ht="15" hidden="false" customHeight="false" outlineLevel="0" collapsed="false">
      <c r="A20" s="5" t="s">
        <v>30</v>
      </c>
      <c r="B20" s="4" t="s">
        <v>31</v>
      </c>
    </row>
    <row r="21" customFormat="false" ht="15" hidden="false" customHeight="false" outlineLevel="0" collapsed="false">
      <c r="A21" s="5" t="s">
        <v>32</v>
      </c>
      <c r="B21" s="4" t="s">
        <v>33</v>
      </c>
    </row>
    <row r="22" customFormat="false" ht="15" hidden="false" customHeight="false" outlineLevel="0" collapsed="false">
      <c r="A22" s="5" t="s">
        <v>34</v>
      </c>
      <c r="B22" s="4" t="s">
        <v>35</v>
      </c>
    </row>
    <row r="23" customFormat="false" ht="15" hidden="false" customHeight="false" outlineLevel="0" collapsed="false">
      <c r="A23" s="5" t="s">
        <v>36</v>
      </c>
      <c r="B23" s="4" t="s">
        <v>37</v>
      </c>
    </row>
    <row r="24" customFormat="false" ht="15" hidden="false" customHeight="false" outlineLevel="0" collapsed="false">
      <c r="A24" s="6"/>
      <c r="B24" s="4"/>
    </row>
    <row r="25" customFormat="false" ht="15" hidden="false" customHeight="false" outlineLevel="0" collapsed="false">
      <c r="A25" s="3" t="s">
        <v>38</v>
      </c>
      <c r="B25" s="4"/>
    </row>
    <row r="26" customFormat="false" ht="15" hidden="false" customHeight="false" outlineLevel="0" collapsed="false">
      <c r="A26" s="5" t="s">
        <v>39</v>
      </c>
      <c r="B26" s="4" t="s">
        <v>40</v>
      </c>
    </row>
    <row r="27" customFormat="false" ht="15" hidden="false" customHeight="false" outlineLevel="0" collapsed="false">
      <c r="A27" s="5" t="s">
        <v>41</v>
      </c>
      <c r="B27" s="4" t="s">
        <v>42</v>
      </c>
    </row>
    <row r="28" customFormat="false" ht="15" hidden="false" customHeight="false" outlineLevel="0" collapsed="false">
      <c r="A28" s="5" t="s">
        <v>43</v>
      </c>
      <c r="B28" s="4" t="s">
        <v>44</v>
      </c>
    </row>
    <row r="29" customFormat="false" ht="15" hidden="false" customHeight="false" outlineLevel="0" collapsed="false">
      <c r="A29" s="5" t="s">
        <v>45</v>
      </c>
      <c r="B29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7" t="s">
        <v>49</v>
      </c>
      <c r="B4" s="8"/>
    </row>
    <row r="5" customFormat="false" ht="15" hidden="false" customHeight="false" outlineLevel="0" collapsed="false">
      <c r="A5" s="7" t="s">
        <v>50</v>
      </c>
      <c r="B5" s="8"/>
    </row>
    <row r="6" customFormat="false" ht="15" hidden="false" customHeight="false" outlineLevel="0" collapsed="false">
      <c r="A6" s="7" t="s">
        <v>51</v>
      </c>
      <c r="B6" s="8"/>
      <c r="C6" s="9" t="s">
        <v>52</v>
      </c>
    </row>
    <row r="7" customFormat="false" ht="15" hidden="false" customHeight="false" outlineLevel="0" collapsed="false">
      <c r="A7" s="7" t="s">
        <v>53</v>
      </c>
      <c r="B7" s="8"/>
      <c r="C7" s="9" t="s">
        <v>54</v>
      </c>
    </row>
    <row r="8" customFormat="false" ht="15" hidden="false" customHeight="false" outlineLevel="0" collapsed="false">
      <c r="A8" s="7" t="s">
        <v>55</v>
      </c>
      <c r="B8" s="8"/>
      <c r="C8" s="9" t="s">
        <v>56</v>
      </c>
    </row>
    <row r="9" customFormat="false" ht="15" hidden="false" customHeight="false" outlineLevel="0" collapsed="false">
      <c r="A9" s="7" t="s">
        <v>57</v>
      </c>
      <c r="B9" s="8"/>
      <c r="C9" s="9" t="s">
        <v>58</v>
      </c>
    </row>
    <row r="10" customFormat="false" ht="15" hidden="false" customHeight="false" outlineLevel="0" collapsed="false">
      <c r="A10" s="7" t="s">
        <v>59</v>
      </c>
      <c r="B10" s="8"/>
      <c r="C10" s="9" t="s">
        <v>60</v>
      </c>
    </row>
    <row r="11" customFormat="false" ht="15" hidden="false" customHeight="false" outlineLevel="0" collapsed="false">
      <c r="A11" s="7" t="s">
        <v>61</v>
      </c>
      <c r="B11" s="8"/>
      <c r="C11" s="9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31.5" hidden="false" customHeight="true" outlineLevel="0" collapsed="false">
      <c r="A4" s="10" t="s">
        <v>64</v>
      </c>
      <c r="B4" s="10" t="s">
        <v>65</v>
      </c>
      <c r="C4" s="10" t="s">
        <v>66</v>
      </c>
      <c r="D4" s="10" t="s">
        <v>67</v>
      </c>
    </row>
    <row r="5" customFormat="false" ht="15" hidden="false" customHeight="false" outlineLevel="0" collapsed="false">
      <c r="A5" s="7" t="s">
        <v>68</v>
      </c>
      <c r="B5" s="11" t="s">
        <v>69</v>
      </c>
      <c r="C5" s="8"/>
      <c r="D5" s="8"/>
    </row>
    <row r="6" customFormat="false" ht="15" hidden="false" customHeight="false" outlineLevel="0" collapsed="false">
      <c r="A6" s="7" t="s">
        <v>70</v>
      </c>
      <c r="B6" s="11" t="s">
        <v>71</v>
      </c>
      <c r="C6" s="8"/>
      <c r="D6" s="8"/>
    </row>
    <row r="7" customFormat="false" ht="15" hidden="false" customHeight="false" outlineLevel="0" collapsed="false">
      <c r="A7" s="7" t="s">
        <v>72</v>
      </c>
      <c r="B7" s="11" t="s">
        <v>73</v>
      </c>
      <c r="C7" s="8"/>
      <c r="D7" s="8"/>
    </row>
    <row r="8" customFormat="false" ht="15" hidden="false" customHeight="false" outlineLevel="0" collapsed="false">
      <c r="A8" s="7" t="s">
        <v>74</v>
      </c>
      <c r="B8" s="11" t="s">
        <v>75</v>
      </c>
      <c r="C8" s="8"/>
      <c r="D8" s="8"/>
    </row>
    <row r="9" customFormat="false" ht="15" hidden="false" customHeight="false" outlineLevel="0" collapsed="false">
      <c r="A9" s="7" t="s">
        <v>76</v>
      </c>
      <c r="B9" s="11" t="s">
        <v>77</v>
      </c>
      <c r="C9" s="8"/>
      <c r="D9" s="8"/>
    </row>
    <row r="10" customFormat="false" ht="15" hidden="false" customHeight="false" outlineLevel="0" collapsed="false">
      <c r="A10" s="7" t="s">
        <v>78</v>
      </c>
      <c r="B10" s="11" t="s">
        <v>79</v>
      </c>
      <c r="C10" s="8"/>
      <c r="D10" s="8"/>
    </row>
    <row r="11" customFormat="false" ht="15" hidden="false" customHeight="false" outlineLevel="0" collapsed="false">
      <c r="A11" s="7" t="s">
        <v>80</v>
      </c>
      <c r="B11" s="11" t="s">
        <v>81</v>
      </c>
      <c r="C11" s="8"/>
      <c r="D11" s="8"/>
    </row>
    <row r="12" customFormat="false" ht="15" hidden="false" customHeight="false" outlineLevel="0" collapsed="false">
      <c r="A12" s="7" t="s">
        <v>82</v>
      </c>
      <c r="B12" s="11" t="s">
        <v>83</v>
      </c>
      <c r="C12" s="8"/>
      <c r="D12" s="8"/>
    </row>
    <row r="15" customFormat="false" ht="15" hidden="false" customHeight="false" outlineLevel="0" collapsed="false">
      <c r="A15" s="12" t="s">
        <v>84</v>
      </c>
      <c r="B15" s="13"/>
    </row>
    <row r="16" customFormat="false" ht="45" hidden="false" customHeight="true" outlineLevel="0" collapsed="false">
      <c r="A16" s="12" t="s">
        <v>85</v>
      </c>
      <c r="B16" s="13"/>
    </row>
  </sheetData>
  <dataValidations count="2">
    <dataValidation allowBlank="true" error="Escolha um valor da lista." errorStyle="stop" errorTitle="Valor inválido" operator="between" showDropDown="false" showErrorMessage="true" showInputMessage="false" sqref="C5:C12" type="list">
      <formula1>Listas!$J$2:$J$3</formula1>
      <formula2>0</formula2>
    </dataValidation>
    <dataValidation allowBlank="true" error="Escolha um valor da lista." errorStyle="stop" errorTitle="Valor inválido" operator="between" showDropDown="false" showErrorMessage="true" showInputMessage="false" sqref="B15" type="list">
      <formula1>Listas!$K$2:$K$3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45"/>
    <col collapsed="false" customWidth="true" hidden="false" outlineLevel="0" max="4" min="4" style="0" width="18"/>
    <col collapsed="false" customWidth="true" hidden="false" outlineLevel="0" max="6" min="5" style="0" width="50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1.5" hidden="false" customHeight="true" outlineLevel="0" collapsed="false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customFormat="false" ht="23.85" hidden="false" customHeight="false" outlineLevel="0" collapsed="false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customFormat="false" ht="15" hidden="false" customHeight="false" outlineLevel="0" collapsed="false">
      <c r="A6" s="7" t="s">
        <v>99</v>
      </c>
      <c r="B6" s="8"/>
      <c r="C6" s="8"/>
      <c r="D6" s="8"/>
      <c r="E6" s="8"/>
      <c r="F6" s="8"/>
    </row>
    <row r="7" customFormat="false" ht="15" hidden="false" customHeight="false" outlineLevel="0" collapsed="false">
      <c r="A7" s="7" t="s">
        <v>100</v>
      </c>
      <c r="B7" s="8"/>
      <c r="C7" s="8"/>
      <c r="D7" s="8"/>
      <c r="E7" s="8"/>
      <c r="F7" s="8"/>
    </row>
    <row r="8" customFormat="false" ht="15" hidden="false" customHeight="false" outlineLevel="0" collapsed="false">
      <c r="A8" s="7" t="s">
        <v>101</v>
      </c>
      <c r="B8" s="8"/>
      <c r="C8" s="8"/>
      <c r="D8" s="8"/>
      <c r="E8" s="8"/>
      <c r="F8" s="8"/>
    </row>
    <row r="9" customFormat="false" ht="15" hidden="false" customHeight="false" outlineLevel="0" collapsed="false">
      <c r="A9" s="7" t="s">
        <v>102</v>
      </c>
      <c r="B9" s="8"/>
      <c r="C9" s="8"/>
      <c r="D9" s="8"/>
      <c r="E9" s="8"/>
      <c r="F9" s="8"/>
    </row>
    <row r="10" customFormat="false" ht="15" hidden="false" customHeight="false" outlineLevel="0" collapsed="false">
      <c r="A10" s="7" t="s">
        <v>103</v>
      </c>
      <c r="B10" s="8"/>
      <c r="C10" s="8"/>
      <c r="D10" s="8"/>
      <c r="E10" s="8"/>
      <c r="F10" s="8"/>
    </row>
    <row r="11" customFormat="false" ht="15" hidden="false" customHeight="false" outlineLevel="0" collapsed="false">
      <c r="A11" s="7" t="s">
        <v>104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7" t="s">
        <v>105</v>
      </c>
      <c r="B12" s="8"/>
      <c r="C12" s="8"/>
      <c r="D12" s="8"/>
      <c r="E12" s="8"/>
      <c r="F12" s="8"/>
    </row>
    <row r="13" customFormat="false" ht="15" hidden="false" customHeight="false" outlineLevel="0" collapsed="false">
      <c r="A13" s="7" t="s">
        <v>106</v>
      </c>
      <c r="B13" s="8"/>
      <c r="C13" s="8"/>
      <c r="D13" s="8"/>
      <c r="E13" s="8"/>
      <c r="F13" s="8"/>
    </row>
    <row r="14" customFormat="false" ht="15" hidden="false" customHeight="false" outlineLevel="0" collapsed="false">
      <c r="A14" s="7" t="s">
        <v>107</v>
      </c>
      <c r="B14" s="8"/>
      <c r="C14" s="8"/>
      <c r="D14" s="8"/>
      <c r="E14" s="8"/>
      <c r="F14" s="8"/>
    </row>
    <row r="15" customFormat="false" ht="15" hidden="false" customHeight="false" outlineLevel="0" collapsed="false">
      <c r="A15" s="7" t="s">
        <v>108</v>
      </c>
      <c r="B15" s="8"/>
      <c r="C15" s="8"/>
      <c r="D15" s="8"/>
      <c r="E15" s="8"/>
      <c r="F15" s="8"/>
    </row>
  </sheetData>
  <dataValidations count="2">
    <dataValidation allowBlank="true" error="Escolha um valor da lista." errorStyle="stop" errorTitle="Valor inválido" operator="between" showDropDown="false" showErrorMessage="true" showInputMessage="false" sqref="B6:B15" type="list">
      <formula1>Listas!$A$2:$A$22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D6:D15" type="list">
      <formula1>Listas!$O$2:$O$5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42" hidden="false" customHeight="true" outlineLevel="0" collapsed="false">
      <c r="A4" s="7" t="s">
        <v>111</v>
      </c>
      <c r="B4" s="8"/>
    </row>
    <row r="5" customFormat="false" ht="42" hidden="false" customHeight="true" outlineLevel="0" collapsed="false">
      <c r="A5" s="7" t="s">
        <v>112</v>
      </c>
      <c r="B5" s="8"/>
      <c r="C5" s="9" t="s">
        <v>113</v>
      </c>
    </row>
    <row r="6" customFormat="false" ht="42" hidden="false" customHeight="true" outlineLevel="0" collapsed="false">
      <c r="A6" s="7" t="s">
        <v>114</v>
      </c>
      <c r="B6" s="8"/>
    </row>
    <row r="7" customFormat="false" ht="42" hidden="false" customHeight="true" outlineLevel="0" collapsed="false">
      <c r="A7" s="7" t="s">
        <v>115</v>
      </c>
      <c r="B7" s="8"/>
      <c r="C7" s="9" t="s">
        <v>116</v>
      </c>
    </row>
    <row r="8" customFormat="false" ht="42" hidden="false" customHeight="true" outlineLevel="0" collapsed="false">
      <c r="A8" s="7" t="s">
        <v>117</v>
      </c>
      <c r="B8" s="8"/>
    </row>
    <row r="9" customFormat="false" ht="42" hidden="false" customHeight="true" outlineLevel="0" collapsed="false">
      <c r="A9" s="7" t="s">
        <v>118</v>
      </c>
      <c r="B9" s="8"/>
      <c r="C9" s="9" t="s">
        <v>119</v>
      </c>
    </row>
    <row r="10" customFormat="false" ht="42" hidden="false" customHeight="true" outlineLevel="0" collapsed="false">
      <c r="A10" s="7" t="s">
        <v>120</v>
      </c>
      <c r="B10" s="8"/>
      <c r="C10" s="9" t="s">
        <v>121</v>
      </c>
    </row>
    <row r="11" customFormat="false" ht="42" hidden="false" customHeight="true" outlineLevel="0" collapsed="false">
      <c r="A11" s="7" t="s">
        <v>122</v>
      </c>
      <c r="B11" s="8"/>
      <c r="C11" s="9" t="s">
        <v>123</v>
      </c>
    </row>
    <row r="12" customFormat="false" ht="42" hidden="false" customHeight="true" outlineLevel="0" collapsed="false">
      <c r="A12" s="7" t="s">
        <v>124</v>
      </c>
      <c r="B12" s="8"/>
      <c r="C12" s="9" t="s">
        <v>125</v>
      </c>
    </row>
    <row r="13" customFormat="false" ht="42" hidden="false" customHeight="true" outlineLevel="0" collapsed="false">
      <c r="A13" s="7" t="s">
        <v>126</v>
      </c>
      <c r="B13" s="8"/>
      <c r="C13" s="9" t="s">
        <v>127</v>
      </c>
    </row>
    <row r="14" customFormat="false" ht="42" hidden="false" customHeight="true" outlineLevel="0" collapsed="false">
      <c r="A14" s="7" t="s">
        <v>128</v>
      </c>
      <c r="B14" s="8"/>
      <c r="C14" s="9" t="s">
        <v>129</v>
      </c>
    </row>
    <row r="17" customFormat="false" ht="15" hidden="false" customHeight="false" outlineLevel="0" collapsed="false">
      <c r="A17" s="3" t="s">
        <v>130</v>
      </c>
    </row>
    <row r="18" customFormat="false" ht="15" hidden="false" customHeight="false" outlineLevel="0" collapsed="false">
      <c r="A18" s="10" t="s">
        <v>131</v>
      </c>
      <c r="B18" s="10" t="s">
        <v>132</v>
      </c>
      <c r="C18" s="10" t="s">
        <v>133</v>
      </c>
    </row>
    <row r="19" customFormat="false" ht="15" hidden="false" customHeight="false" outlineLevel="0" collapsed="false">
      <c r="A19" s="12" t="s">
        <v>134</v>
      </c>
      <c r="B19" s="8"/>
      <c r="C19" s="8"/>
    </row>
    <row r="20" customFormat="false" ht="15" hidden="false" customHeight="false" outlineLevel="0" collapsed="false">
      <c r="A20" s="12" t="s">
        <v>135</v>
      </c>
      <c r="B20" s="8"/>
      <c r="C20" s="8"/>
    </row>
    <row r="21" customFormat="false" ht="15" hidden="false" customHeight="false" outlineLevel="0" collapsed="false">
      <c r="A21" s="12" t="s">
        <v>136</v>
      </c>
      <c r="B21" s="8"/>
      <c r="C21" s="8"/>
    </row>
    <row r="22" customFormat="false" ht="15" hidden="false" customHeight="false" outlineLevel="0" collapsed="false">
      <c r="A22" s="12" t="s">
        <v>137</v>
      </c>
      <c r="B22" s="8"/>
      <c r="C22" s="8"/>
    </row>
    <row r="23" customFormat="false" ht="15" hidden="false" customHeight="false" outlineLevel="0" collapsed="false">
      <c r="A23" s="12" t="s">
        <v>138</v>
      </c>
      <c r="B23" s="8"/>
      <c r="C23" s="8"/>
    </row>
    <row r="24" customFormat="false" ht="15" hidden="false" customHeight="false" outlineLevel="0" collapsed="false">
      <c r="A24" s="12" t="s">
        <v>139</v>
      </c>
      <c r="B24" s="8"/>
      <c r="C24" s="8"/>
    </row>
    <row r="25" customFormat="false" ht="15" hidden="false" customHeight="false" outlineLevel="0" collapsed="false">
      <c r="A25" s="12" t="s">
        <v>140</v>
      </c>
      <c r="B25" s="8"/>
      <c r="C25" s="8"/>
    </row>
    <row r="26" customFormat="false" ht="15" hidden="false" customHeight="false" outlineLevel="0" collapsed="false">
      <c r="A26" s="12" t="s">
        <v>141</v>
      </c>
      <c r="B26" s="8"/>
      <c r="C26" s="8"/>
    </row>
    <row r="27" customFormat="false" ht="15" hidden="false" customHeight="false" outlineLevel="0" collapsed="false">
      <c r="A27" s="12" t="s">
        <v>142</v>
      </c>
      <c r="B27" s="8"/>
      <c r="C27" s="8"/>
    </row>
    <row r="28" customFormat="false" ht="15" hidden="false" customHeight="false" outlineLevel="0" collapsed="false">
      <c r="A28" s="12" t="s">
        <v>143</v>
      </c>
      <c r="B28" s="8"/>
      <c r="C28" s="8"/>
    </row>
    <row r="29" customFormat="false" ht="15" hidden="false" customHeight="false" outlineLevel="0" collapsed="false">
      <c r="A29" s="12" t="s">
        <v>144</v>
      </c>
      <c r="B29" s="8"/>
      <c r="C29" s="8"/>
    </row>
    <row r="30" customFormat="false" ht="15" hidden="false" customHeight="false" outlineLevel="0" collapsed="false">
      <c r="A30" s="12" t="s">
        <v>145</v>
      </c>
      <c r="B30" s="8"/>
      <c r="C30" s="8"/>
    </row>
  </sheetData>
  <dataValidations count="2">
    <dataValidation allowBlank="true" error="Escolha um valor da lista." errorStyle="stop" errorTitle="Valor inválido" operator="between" showDropDown="false" showErrorMessage="true" showInputMessage="false" sqref="B7" type="list">
      <formula1>Listas!$P$2:$P$4</formula1>
      <formula2>0</formula2>
    </dataValidation>
    <dataValidation allowBlank="true" error="Escolha um valor da lista." errorStyle="stop" errorTitle="Valor inválido" operator="between" showDropDown="false" showErrorMessage="true" showInputMessage="false" sqref="B19:B30" type="list">
      <formula1>Listas!$I$2:$I$3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2" min="11" style="0" width="32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31.5" hidden="false" customHeight="true" outlineLevel="0" collapsed="false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customFormat="false" ht="35.05" hidden="false" customHeight="false" outlineLevel="0" collapsed="false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customFormat="false" ht="15" hidden="false" customHeight="false" outlineLevel="0" collapsed="false">
      <c r="A6" s="7" t="s">
        <v>171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customFormat="false" ht="15" hidden="false" customHeight="false" outlineLevel="0" collapsed="false">
      <c r="A7" s="7" t="s">
        <v>172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customFormat="false" ht="15" hidden="false" customHeight="false" outlineLevel="0" collapsed="false">
      <c r="A8" s="7" t="s">
        <v>173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customFormat="false" ht="15" hidden="false" customHeight="false" outlineLevel="0" collapsed="false">
      <c r="A9" s="7" t="s">
        <v>174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customFormat="false" ht="15" hidden="false" customHeight="false" outlineLevel="0" collapsed="false">
      <c r="A10" s="7" t="s">
        <v>175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customFormat="false" ht="15" hidden="false" customHeight="false" outlineLevel="0" collapsed="false">
      <c r="A11" s="7" t="s">
        <v>176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customFormat="false" ht="15" hidden="false" customHeight="false" outlineLevel="0" collapsed="false">
      <c r="A12" s="7" t="s">
        <v>177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customFormat="false" ht="15" hidden="false" customHeight="false" outlineLevel="0" collapsed="false">
      <c r="A13" s="7" t="s">
        <v>178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customFormat="false" ht="15" hidden="false" customHeight="false" outlineLevel="0" collapsed="false">
      <c r="A14" s="7" t="s">
        <v>179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customFormat="false" ht="15" hidden="false" customHeight="false" outlineLevel="0" collapsed="false">
      <c r="A15" s="7" t="s">
        <v>180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customFormat="false" ht="15" hidden="false" customHeight="false" outlineLevel="0" collapsed="false">
      <c r="A16" s="7" t="s">
        <v>181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customFormat="false" ht="15" hidden="false" customHeight="false" outlineLevel="0" collapsed="false">
      <c r="A17" s="7" t="s">
        <v>182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customFormat="false" ht="15" hidden="false" customHeight="false" outlineLevel="0" collapsed="false">
      <c r="A18" s="7" t="s">
        <v>183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customFormat="false" ht="15" hidden="false" customHeight="false" outlineLevel="0" collapsed="false">
      <c r="A19" s="7" t="s">
        <v>184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customFormat="false" ht="15" hidden="false" customHeight="false" outlineLevel="0" collapsed="false">
      <c r="A20" s="7" t="s">
        <v>185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customFormat="false" ht="15" hidden="false" customHeight="false" outlineLevel="0" collapsed="false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customFormat="false" ht="15" hidden="false" customHeight="false" outlineLevel="0" collapsed="false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customFormat="false" ht="15" hidden="false" customHeight="false" outlineLevel="0" collapsed="false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customFormat="false" ht="15" hidden="false" customHeight="false" outlineLevel="0" collapsed="false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customFormat="false" ht="15" hidden="false" customHeight="false" outlineLevel="0" collapsed="false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customFormat="false" ht="15" hidden="false" customHeight="false" outlineLevel="0" collapsed="false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customFormat="false" ht="15" hidden="false" customHeight="false" outlineLevel="0" collapsed="false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customFormat="false" ht="15" hidden="false" customHeight="false" outlineLevel="0" collapsed="false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customFormat="false" ht="15" hidden="false" customHeight="false" outlineLevel="0" collapsed="false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customFormat="false" ht="15" hidden="false" customHeight="false" outlineLevel="0" collapsed="false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customFormat="false" ht="15" hidden="false" customHeight="false" outlineLevel="0" collapsed="false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customFormat="false" ht="15" hidden="false" customHeight="false" outlineLevel="0" collapsed="false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customFormat="false" ht="15" hidden="false" customHeight="false" outlineLevel="0" collapsed="false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customFormat="false" ht="15" hidden="false" customHeight="false" outlineLevel="0" collapsed="false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customFormat="false" ht="15" hidden="false" customHeight="false" outlineLevel="0" collapsed="false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customFormat="false" ht="15" hidden="false" customHeight="false" outlineLevel="0" collapsed="false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customFormat="false" ht="15" hidden="false" customHeight="false" outlineLevel="0" collapsed="false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customFormat="false" ht="15" hidden="false" customHeight="false" outlineLevel="0" collapsed="false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customFormat="false" ht="15" hidden="false" customHeight="false" outlineLevel="0" collapsed="false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customFormat="false" ht="15" hidden="false" customHeight="false" outlineLevel="0" collapsed="false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customFormat="false" ht="15" hidden="false" customHeight="false" outlineLevel="0" collapsed="false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customFormat="false" ht="15" hidden="false" customHeight="false" outlineLevel="0" collapsed="false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customFormat="false" ht="15" hidden="false" customHeight="false" outlineLevel="0" collapsed="false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customFormat="false" ht="15" hidden="false" customHeight="false" outlineLevel="0" collapsed="false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customFormat="false" ht="15" hidden="false" customHeight="false" outlineLevel="0" collapsed="false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dataValidations count="5">
    <dataValidation allowBlank="true" error="Escolha um valor da lista." errorStyle="stop" errorTitle="Valor inválido" operator="between" showDropDown="false" showErrorMessage="true" showInputMessage="false" sqref="B6:B45" type="list">
      <formula1>Listas!$A$2:$A$22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D6:D45" type="list">
      <formula1>Listas!$B$2:$B$9</formula1>
      <formula2>0</formula2>
    </dataValidation>
    <dataValidation allowBlank="true" error="Escolha um valor da lista." errorStyle="stop" errorTitle="Valor inválido" operator="between" showDropDown="false" showErrorMessage="true" showInputMessage="false" sqref="E6:E45" type="list">
      <formula1>Listas!$C$2:$C$15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F6:F45" type="list">
      <formula1>Listas!$D$2:$D$5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M6:M45" type="list">
      <formula1>Listas!$E$2:$E$5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1"/>
    <col collapsed="false" customWidth="true" hidden="false" outlineLevel="0" max="9" min="9" style="0" width="44"/>
    <col collapsed="false" customWidth="true" hidden="false" outlineLevel="0" max="10" min="10" style="0" width="24"/>
    <col collapsed="false" customWidth="true" hidden="false" outlineLevel="0" max="12" min="11" style="0" width="32"/>
    <col collapsed="false" customWidth="true" hidden="false" outlineLevel="0" max="13" min="13" style="0" width="16"/>
    <col collapsed="false" customWidth="true" hidden="false" outlineLevel="0" max="14" min="14" style="0" width="1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customFormat="false" ht="35.05" hidden="false" customHeight="false" outlineLevel="0" collapsed="false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customFormat="false" ht="15" hidden="false" customHeight="false" outlineLevel="0" collapsed="false">
      <c r="A6" s="7" t="s">
        <v>231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customFormat="false" ht="15" hidden="false" customHeight="false" outlineLevel="0" collapsed="false">
      <c r="A7" s="7" t="s">
        <v>232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customFormat="false" ht="15" hidden="false" customHeight="false" outlineLevel="0" collapsed="false">
      <c r="A8" s="7" t="s">
        <v>233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customFormat="false" ht="15" hidden="false" customHeight="false" outlineLevel="0" collapsed="false">
      <c r="A9" s="7" t="s">
        <v>234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customFormat="false" ht="15" hidden="false" customHeight="false" outlineLevel="0" collapsed="false">
      <c r="A10" s="7" t="s">
        <v>235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customFormat="false" ht="15" hidden="false" customHeight="false" outlineLevel="0" collapsed="false">
      <c r="A11" s="7" t="s">
        <v>236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customFormat="false" ht="15" hidden="false" customHeight="false" outlineLevel="0" collapsed="false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customFormat="false" ht="15" hidden="false" customHeight="false" outlineLevel="0" collapsed="false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customFormat="false" ht="15" hidden="false" customHeight="false" outlineLevel="0" collapsed="false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customFormat="false" ht="15" hidden="false" customHeight="false" outlineLevel="0" collapsed="false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customFormat="false" ht="15" hidden="false" customHeight="false" outlineLevel="0" collapsed="false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customFormat="false" ht="15" hidden="false" customHeight="false" outlineLevel="0" collapsed="false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customFormat="false" ht="15" hidden="false" customHeight="false" outlineLevel="0" collapsed="false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customFormat="false" ht="15" hidden="false" customHeight="false" outlineLevel="0" collapsed="false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customFormat="false" ht="15" hidden="false" customHeight="false" outlineLevel="0" collapsed="false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customFormat="false" ht="15" hidden="false" customHeight="false" outlineLevel="0" collapsed="false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customFormat="false" ht="15" hidden="false" customHeight="false" outlineLevel="0" collapsed="false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customFormat="false" ht="15" hidden="false" customHeight="false" outlineLevel="0" collapsed="false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customFormat="false" ht="15" hidden="false" customHeight="false" outlineLevel="0" collapsed="false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customFormat="false" ht="15" hidden="false" customHeight="false" outlineLevel="0" collapsed="false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customFormat="false" ht="15" hidden="false" customHeight="false" outlineLevel="0" collapsed="false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customFormat="false" ht="15" hidden="false" customHeight="false" outlineLevel="0" collapsed="false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customFormat="false" ht="15" hidden="false" customHeight="false" outlineLevel="0" collapsed="false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customFormat="false" ht="15" hidden="false" customHeight="false" outlineLevel="0" collapsed="false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customFormat="false" ht="15" hidden="false" customHeight="false" outlineLevel="0" collapsed="false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customFormat="false" ht="15" hidden="false" customHeight="false" outlineLevel="0" collapsed="false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customFormat="false" ht="15" hidden="false" customHeight="false" outlineLevel="0" collapsed="false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customFormat="false" ht="15" hidden="false" customHeight="false" outlineLevel="0" collapsed="false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customFormat="false" ht="15" hidden="false" customHeight="false" outlineLevel="0" collapsed="false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customFormat="false" ht="15" hidden="false" customHeight="false" outlineLevel="0" collapsed="false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dataValidations count="6">
    <dataValidation allowBlank="true" error="Escolha um valor da lista." errorStyle="stop" errorTitle="Valor inválido" operator="between" showDropDown="false" showErrorMessage="true" showInputMessage="false" sqref="C6:C35" type="list">
      <formula1>Listas!$A$2:$A$22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F6:F35" type="list">
      <formula1>Listas!$C$2:$C$15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G6:G35" type="list">
      <formula1>Listas!$F$2:$F$5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6:H35" type="list">
      <formula1>Listas!$G$2:$G$4</formula1>
      <formula2>0</formula2>
    </dataValidation>
    <dataValidation allowBlank="true" error="Escolha um valor da lista." errorStyle="stop" errorTitle="Valor inválido" operator="between" showDropDown="false" showErrorMessage="true" showInputMessage="false" sqref="N6:N35" type="list">
      <formula1>Listas!$H$2:$H$5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O6:O35" type="list">
      <formula1>Listas!$N$2:$N$8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46"/>
    <col collapsed="false" customWidth="true" hidden="false" outlineLevel="0" max="6" min="6" style="0" width="20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1" t="s">
        <v>261</v>
      </c>
    </row>
    <row r="2" customFormat="false" ht="15" hidden="false" customHeight="false" outlineLevel="0" collapsed="false">
      <c r="A2" s="2" t="s">
        <v>262</v>
      </c>
    </row>
    <row r="4" customFormat="false" ht="31.5" hidden="false" customHeight="true" outlineLevel="0" collapsed="false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customFormat="false" ht="23.85" hidden="false" customHeight="false" outlineLevel="0" collapsed="false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customFormat="false" ht="15" hidden="false" customHeight="false" outlineLevel="0" collapsed="false">
      <c r="A6" s="7" t="s">
        <v>274</v>
      </c>
      <c r="B6" s="8" t="s">
        <v>138</v>
      </c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7" t="s">
        <v>275</v>
      </c>
      <c r="B7" s="8" t="s">
        <v>139</v>
      </c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7" t="s">
        <v>276</v>
      </c>
      <c r="B8" s="8" t="s">
        <v>140</v>
      </c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7" t="s">
        <v>277</v>
      </c>
      <c r="B9" s="8" t="s">
        <v>141</v>
      </c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7" t="s">
        <v>278</v>
      </c>
      <c r="B10" s="8" t="s">
        <v>142</v>
      </c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7" t="s">
        <v>279</v>
      </c>
      <c r="B11" s="8" t="s">
        <v>143</v>
      </c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7" t="s">
        <v>280</v>
      </c>
      <c r="B12" s="8" t="s">
        <v>144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dataValidations count="3">
    <dataValidation allowBlank="true" error="Escolha um valor da lista." errorStyle="stop" errorTitle="Valor inválido" operator="between" showDropDown="false" showErrorMessage="true" showInputMessage="false" sqref="B6:B20" type="list">
      <formula1>Listas!$C$2:$C$15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C6:C20" type="list">
      <formula1>Listas!$A$2:$A$22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6:H20" type="list">
      <formula1>Listas!$E$2:$E$5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32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289</v>
      </c>
    </row>
    <row r="2" customFormat="false" ht="15" hidden="false" customHeight="false" outlineLevel="0" collapsed="false">
      <c r="A2" s="2" t="s">
        <v>290</v>
      </c>
    </row>
    <row r="4" customFormat="false" ht="31.5" hidden="false" customHeight="true" outlineLevel="0" collapsed="false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customFormat="false" ht="23.85" hidden="false" customHeight="false" outlineLevel="0" collapsed="false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customFormat="false" ht="15" hidden="false" customHeight="false" outlineLevel="0" collapsed="false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dataValidations count="3">
    <dataValidation allowBlank="true" error="Escolha um valor da lista." errorStyle="stop" errorTitle="Valor inválido" operator="between" showDropDown="false" showErrorMessage="true" showInputMessage="false" sqref="B6:B25" type="list">
      <formula1>Listas!$M$2:$M$12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6:H25" type="list">
      <formula1>Listas!$E$2:$E$5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I6:I25" type="list">
      <formula1>Listas!$A$2:$A$22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8"/>
    <col collapsed="false" customWidth="true" hidden="false" outlineLevel="0" max="5" min="5" style="0" width="58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323</v>
      </c>
    </row>
    <row r="2" customFormat="false" ht="15" hidden="false" customHeight="false" outlineLevel="0" collapsed="false">
      <c r="A2" s="2" t="s">
        <v>324</v>
      </c>
    </row>
    <row r="4" customFormat="false" ht="31.5" hidden="false" customHeight="true" outlineLevel="0" collapsed="false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customFormat="false" ht="15" hidden="false" customHeight="false" outlineLevel="0" collapsed="false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customFormat="false" ht="15" hidden="false" customHeight="false" outlineLevel="0" collapsed="false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customFormat="false" ht="15" hidden="false" customHeight="false" outlineLevel="0" collapsed="false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customFormat="false" ht="15" hidden="false" customHeight="false" outlineLevel="0" collapsed="false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customFormat="false" ht="15" hidden="false" customHeight="false" outlineLevel="0" collapsed="false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customFormat="false" ht="15" hidden="false" customHeight="false" outlineLevel="0" collapsed="false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customFormat="false" ht="15" hidden="false" customHeight="false" outlineLevel="0" collapsed="false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customFormat="false" ht="15" hidden="false" customHeight="false" outlineLevel="0" collapsed="false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customFormat="false" ht="15" hidden="false" customHeight="false" outlineLevel="0" collapsed="false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customFormat="false" ht="15" hidden="false" customHeight="false" outlineLevel="0" collapsed="false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customFormat="false" ht="15" hidden="false" customHeight="false" outlineLevel="0" collapsed="false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customFormat="false" ht="15" hidden="false" customHeight="false" outlineLevel="0" collapsed="false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customFormat="false" ht="15" hidden="false" customHeight="false" outlineLevel="0" collapsed="false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customFormat="false" ht="15" hidden="false" customHeight="false" outlineLevel="0" collapsed="false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customFormat="false" ht="15" hidden="false" customHeight="false" outlineLevel="0" collapsed="false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customFormat="false" ht="15" hidden="false" customHeight="false" outlineLevel="0" collapsed="false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customFormat="false" ht="15" hidden="false" customHeight="false" outlineLevel="0" collapsed="false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customFormat="false" ht="15" hidden="false" customHeight="false" outlineLevel="0" collapsed="false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dataValidations count="3">
    <dataValidation allowBlank="true" error="Escolha um valor da lista." errorStyle="stop" errorTitle="Valor inválido" operator="between" showDropDown="false" showErrorMessage="true" showInputMessage="false" sqref="B6:B25" type="list">
      <formula1>Listas!$M$2:$M$12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D6:D25" type="list">
      <formula1>Listas!$A$2:$A$22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6:H25" type="list">
      <formula1>Listas!$E$2:$E$5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8" min="7" style="0" width="16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2" t="s">
        <v>357</v>
      </c>
    </row>
    <row r="4" customFormat="false" ht="31.5" hidden="false" customHeight="true" outlineLevel="0" collapsed="false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customFormat="false" ht="60" hidden="false" customHeight="true" outlineLevel="0" collapsed="false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60" hidden="false" customHeight="true" outlineLevel="0" collapsed="false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60" hidden="false" customHeight="true" outlineLevel="0" collapsed="false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dataValidations count="2">
    <dataValidation allowBlank="true" error="Escolha um valor da lista." errorStyle="stop" errorTitle="Valor inválido" operator="between" showDropDown="false" showErrorMessage="true" showInputMessage="false" sqref="H5:H7" type="list">
      <formula1>Listas!$E$2:$E$5</formula1>
      <formula2>0</formula2>
    </dataValidation>
    <dataValidation allowBlank="true" error="Escolha um valor da lista." errorStyle="stop" errorTitle="Valor inválido" operator="between" showDropDown="false" showErrorMessage="true" showInputMessage="false" sqref="K5:K7" type="list">
      <formula1>Listas!$I$2:$I$3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371</v>
      </c>
    </row>
    <row r="2" customFormat="false" ht="15" hidden="false" customHeight="false" outlineLevel="0" collapsed="false">
      <c r="A2" s="2" t="s">
        <v>372</v>
      </c>
    </row>
    <row r="4" customFormat="false" ht="15" hidden="false" customHeight="false" outlineLevel="0" collapsed="false">
      <c r="A4" s="15" t="s">
        <v>373</v>
      </c>
      <c r="B4" s="16"/>
    </row>
    <row r="5" customFormat="false" ht="15" hidden="false" customHeight="false" outlineLevel="0" collapsed="false">
      <c r="A5" s="17" t="s">
        <v>374</v>
      </c>
      <c r="B5" s="18" t="n">
        <f aca="false">COUNTA(5_Casos_de_Teste!G6:G45)</f>
        <v>0</v>
      </c>
    </row>
    <row r="6" customFormat="false" ht="15" hidden="false" customHeight="false" outlineLevel="0" collapsed="false">
      <c r="A6" s="17" t="s">
        <v>375</v>
      </c>
      <c r="B6" s="18" t="n">
        <f aca="false">COUNTIF(5_Casos_de_Teste!M6:M45,"Passou")</f>
        <v>0</v>
      </c>
    </row>
    <row r="7" customFormat="false" ht="15" hidden="false" customHeight="false" outlineLevel="0" collapsed="false">
      <c r="A7" s="17" t="s">
        <v>376</v>
      </c>
      <c r="B7" s="18" t="n">
        <f aca="false">COUNTIF(5_Casos_de_Teste!M6:M45,"Falhou")</f>
        <v>0</v>
      </c>
    </row>
    <row r="8" customFormat="false" ht="15" hidden="false" customHeight="false" outlineLevel="0" collapsed="false">
      <c r="A8" s="17" t="s">
        <v>377</v>
      </c>
      <c r="B8" s="18" t="n">
        <f aca="false">COUNTIF(5_Casos_de_Teste!M6:M45,"Bloqueado")</f>
        <v>0</v>
      </c>
    </row>
    <row r="9" customFormat="false" ht="15" hidden="false" customHeight="false" outlineLevel="0" collapsed="false">
      <c r="A9" s="17" t="s">
        <v>378</v>
      </c>
      <c r="B9" s="18" t="n">
        <f aca="false">COUNTIF(5_Casos_de_Teste!M6:M45,"Não executado")</f>
        <v>0</v>
      </c>
    </row>
    <row r="10" customFormat="false" ht="15" hidden="false" customHeight="false" outlineLevel="0" collapsed="false">
      <c r="A10" s="17" t="s">
        <v>379</v>
      </c>
      <c r="B10" s="19" t="n">
        <f aca="false">IFERROR(B6/(B6+B7+B8),0)</f>
        <v>0</v>
      </c>
    </row>
    <row r="11" customFormat="false" ht="15" hidden="false" customHeight="false" outlineLevel="0" collapsed="false">
      <c r="A11" s="17" t="s">
        <v>380</v>
      </c>
      <c r="B11" s="18" t="n">
        <f aca="false">COUNTIF(5_Casos_de_Teste!D6:D45,"Valor limite")</f>
        <v>0</v>
      </c>
    </row>
    <row r="12" customFormat="false" ht="15" hidden="false" customHeight="false" outlineLevel="0" collapsed="false">
      <c r="A12" s="17" t="s">
        <v>381</v>
      </c>
      <c r="B12" s="18" t="n">
        <f aca="false">COUNTA(6_Bugs!B6:B35)</f>
        <v>0</v>
      </c>
    </row>
    <row r="13" customFormat="false" ht="15" hidden="false" customHeight="false" outlineLevel="0" collapsed="false">
      <c r="A13" s="17" t="s">
        <v>382</v>
      </c>
      <c r="B13" s="18" t="n">
        <f aca="false">COUNTIF(6_Bugs!G6:G35,"Crítica")</f>
        <v>0</v>
      </c>
    </row>
    <row r="14" customFormat="false" ht="15" hidden="false" customHeight="false" outlineLevel="0" collapsed="false">
      <c r="A14" s="17" t="s">
        <v>383</v>
      </c>
      <c r="B14" s="18" t="n">
        <f aca="false">COUNTIF(6_Bugs!G6:G35,"Alta")</f>
        <v>0</v>
      </c>
    </row>
    <row r="15" customFormat="false" ht="15" hidden="false" customHeight="false" outlineLevel="0" collapsed="false">
      <c r="A15" s="17" t="s">
        <v>384</v>
      </c>
      <c r="B15" s="18" t="n">
        <f aca="false">COUNTIF(6_Bugs!G6:G35,"Média")</f>
        <v>0</v>
      </c>
    </row>
    <row r="16" customFormat="false" ht="15" hidden="false" customHeight="false" outlineLevel="0" collapsed="false">
      <c r="A16" s="17" t="s">
        <v>385</v>
      </c>
      <c r="B16" s="18" t="n">
        <f aca="false">COUNTIF(6_Bugs!G6:G35,"Baixa")</f>
        <v>0</v>
      </c>
    </row>
    <row r="17" customFormat="false" ht="15" hidden="false" customHeight="false" outlineLevel="0" collapsed="false">
      <c r="A17" s="17" t="s">
        <v>386</v>
      </c>
      <c r="B17" s="18" t="n">
        <f aca="false">COUNTIF(6_Bugs!N6:N35,"Corrigido*")</f>
        <v>0</v>
      </c>
    </row>
    <row r="18" customFormat="false" ht="15" hidden="false" customHeight="false" outlineLevel="0" collapsed="false">
      <c r="A18" s="17" t="s">
        <v>387</v>
      </c>
      <c r="B18" s="18" t="n">
        <f aca="false">COUNTA(7_Nao_Funcionais!H6:H20)</f>
        <v>0</v>
      </c>
    </row>
    <row r="19" customFormat="false" ht="15" hidden="false" customHeight="false" outlineLevel="0" collapsed="false">
      <c r="A19" s="17" t="s">
        <v>388</v>
      </c>
      <c r="B19" s="18" t="n">
        <f aca="false">COUNTIF(7_Nao_Funcionais!H6:H20,"Falhou")</f>
        <v>0</v>
      </c>
    </row>
    <row r="20" customFormat="false" ht="15" hidden="false" customHeight="false" outlineLevel="0" collapsed="false">
      <c r="A20" s="17" t="s">
        <v>389</v>
      </c>
      <c r="B20" s="18" t="n">
        <f aca="false">COUNTA(8_Caixa_Branca!C6:C25)</f>
        <v>0</v>
      </c>
    </row>
    <row r="21" customFormat="false" ht="15" hidden="false" customHeight="false" outlineLevel="0" collapsed="false">
      <c r="A21" s="17" t="s">
        <v>390</v>
      </c>
      <c r="B21" s="18" t="n">
        <f aca="false">COUNTA(9_Automacao!E6:E25)</f>
        <v>0</v>
      </c>
    </row>
    <row r="22" customFormat="false" ht="15" hidden="false" customHeight="false" outlineLevel="0" collapsed="false">
      <c r="A22" s="17" t="s">
        <v>391</v>
      </c>
      <c r="B22" s="18" t="n">
        <f aca="false">COUNTIF(9_Automacao!H6:H25,"Passou")</f>
        <v>0</v>
      </c>
    </row>
    <row r="23" customFormat="false" ht="15" hidden="false" customHeight="false" outlineLevel="0" collapsed="false">
      <c r="A23" s="17" t="s">
        <v>392</v>
      </c>
      <c r="B23" s="18" t="n">
        <f aca="false">COUNTIF(9_Automacao!H6:H25,"Falhou")</f>
        <v>0</v>
      </c>
    </row>
    <row r="25" customFormat="false" ht="15" hidden="false" customHeight="false" outlineLevel="0" collapsed="false">
      <c r="A25" s="15" t="s">
        <v>393</v>
      </c>
      <c r="B25" s="16"/>
      <c r="C25" s="16"/>
    </row>
    <row r="26" customFormat="false" ht="48" hidden="false" customHeight="true" outlineLevel="0" collapsed="false">
      <c r="A26" s="7" t="s">
        <v>394</v>
      </c>
      <c r="B26" s="20"/>
      <c r="C26" s="20"/>
      <c r="D26" s="9" t="s">
        <v>395</v>
      </c>
    </row>
    <row r="27" customFormat="false" ht="48" hidden="false" customHeight="true" outlineLevel="0" collapsed="false">
      <c r="A27" s="7" t="s">
        <v>396</v>
      </c>
      <c r="B27" s="20"/>
      <c r="C27" s="20"/>
    </row>
    <row r="28" customFormat="false" ht="48" hidden="false" customHeight="true" outlineLevel="0" collapsed="false">
      <c r="A28" s="7" t="s">
        <v>397</v>
      </c>
      <c r="B28" s="20"/>
      <c r="C28" s="20"/>
    </row>
    <row r="29" customFormat="false" ht="48" hidden="false" customHeight="true" outlineLevel="0" collapsed="false">
      <c r="A29" s="7" t="s">
        <v>398</v>
      </c>
      <c r="B29" s="20"/>
      <c r="C29" s="20"/>
    </row>
    <row r="30" customFormat="false" ht="18" hidden="false" customHeight="true" outlineLevel="0" collapsed="false">
      <c r="A30" s="7" t="s">
        <v>399</v>
      </c>
      <c r="B30" s="20"/>
      <c r="C30" s="20"/>
      <c r="D30" s="9" t="s">
        <v>400</v>
      </c>
    </row>
    <row r="31" customFormat="false" ht="48" hidden="false" customHeight="true" outlineLevel="0" collapsed="false">
      <c r="A31" s="7" t="s">
        <v>401</v>
      </c>
      <c r="B31" s="20"/>
      <c r="C31" s="20"/>
      <c r="D31" s="9" t="s">
        <v>402</v>
      </c>
    </row>
    <row r="32" customFormat="false" ht="48" hidden="false" customHeight="true" outlineLevel="0" collapsed="false">
      <c r="A32" s="7" t="s">
        <v>403</v>
      </c>
      <c r="B32" s="20"/>
      <c r="C32" s="20"/>
    </row>
    <row r="33" customFormat="false" ht="48" hidden="false" customHeight="true" outlineLevel="0" collapsed="false">
      <c r="A33" s="7" t="s">
        <v>404</v>
      </c>
      <c r="B33" s="20"/>
      <c r="C33" s="20"/>
    </row>
  </sheetData>
  <mergeCells count="8">
    <mergeCell ref="B26:C26"/>
    <mergeCell ref="B27:C27"/>
    <mergeCell ref="B28:C28"/>
    <mergeCell ref="B29:C29"/>
    <mergeCell ref="B30:C30"/>
    <mergeCell ref="B31:C31"/>
    <mergeCell ref="B32:C32"/>
    <mergeCell ref="B33:C33"/>
  </mergeCells>
  <dataValidations count="1">
    <dataValidation allowBlank="true" error="Escolha um valor da lista." errorStyle="stop" errorTitle="Valor inválido" operator="between" showDropDown="false" showErrorMessage="true" showInputMessage="false" sqref="B30" type="list">
      <formula1>Listas!$L$2:$L$4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40"/>
    <col collapsed="false" customWidth="true" hidden="false" outlineLevel="0" max="6" min="6" style="0" width="36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31.5" hidden="false" customHeight="true" outlineLevel="0" collapsed="false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customFormat="false" ht="15" hidden="false" customHeight="false" outlineLevel="0" collapsed="false">
      <c r="A5" s="7" t="s">
        <v>412</v>
      </c>
      <c r="B5" s="8"/>
      <c r="C5" s="8"/>
      <c r="D5" s="8"/>
      <c r="E5" s="8"/>
      <c r="F5" s="8"/>
      <c r="G5" s="8"/>
    </row>
    <row r="6" customFormat="false" ht="15" hidden="false" customHeight="false" outlineLevel="0" collapsed="false">
      <c r="A6" s="7" t="s">
        <v>413</v>
      </c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7" t="s">
        <v>414</v>
      </c>
      <c r="B7" s="8"/>
      <c r="C7" s="8"/>
      <c r="D7" s="8"/>
      <c r="E7" s="8"/>
      <c r="F7" s="8"/>
      <c r="G7" s="8"/>
    </row>
    <row r="8" customFormat="false" ht="15" hidden="false" customHeight="false" outlineLevel="0" collapsed="false">
      <c r="A8" s="7" t="s">
        <v>415</v>
      </c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7" t="s">
        <v>416</v>
      </c>
      <c r="B9" s="8"/>
      <c r="C9" s="8"/>
      <c r="D9" s="8"/>
      <c r="E9" s="8"/>
      <c r="F9" s="8"/>
      <c r="G9" s="8"/>
    </row>
    <row r="10" customFormat="false" ht="15" hidden="false" customHeight="false" outlineLevel="0" collapsed="false">
      <c r="A10" s="7" t="s">
        <v>417</v>
      </c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7" t="s">
        <v>418</v>
      </c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7" t="s">
        <v>419</v>
      </c>
      <c r="B12" s="8"/>
      <c r="C12" s="8"/>
      <c r="D12" s="8"/>
      <c r="E12" s="8"/>
      <c r="F12" s="8"/>
      <c r="G12" s="8"/>
    </row>
    <row r="13" customFormat="false" ht="15" hidden="false" customHeight="false" outlineLevel="0" collapsed="false">
      <c r="A13" s="7" t="s">
        <v>420</v>
      </c>
      <c r="B13" s="8"/>
      <c r="C13" s="8"/>
      <c r="D13" s="8"/>
      <c r="E13" s="8"/>
      <c r="F13" s="8"/>
      <c r="G13" s="8"/>
    </row>
    <row r="14" customFormat="false" ht="15" hidden="false" customHeight="false" outlineLevel="0" collapsed="false">
      <c r="A14" s="7" t="s">
        <v>421</v>
      </c>
      <c r="B14" s="8"/>
      <c r="C14" s="8"/>
      <c r="D14" s="8"/>
      <c r="E14" s="8"/>
      <c r="F14" s="8"/>
      <c r="G14" s="8"/>
    </row>
  </sheetData>
  <dataValidations count="1">
    <dataValidation allowBlank="true" error="Escolha um valor da lista." errorStyle="stop" errorTitle="Valor inválido" operator="between" showDropDown="false" showErrorMessage="true" showInputMessage="false" sqref="B5:B14" type="list">
      <formula1>Listas!$N$2:$N$8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customFormat="false" ht="15" hidden="false" customHeight="false" outlineLevel="0" collapsed="false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customFormat="false" ht="15" hidden="false" customHeight="false" outlineLevel="0" collapsed="false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customFormat="false" ht="15" hidden="false" customHeight="false" outlineLevel="0" collapsed="false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customFormat="false" ht="15" hidden="false" customHeight="false" outlineLevel="0" collapsed="false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customFormat="false" ht="15" hidden="false" customHeight="false" outlineLevel="0" collapsed="false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customFormat="false" ht="15" hidden="false" customHeight="false" outlineLevel="0" collapsed="false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customFormat="false" ht="15" hidden="false" customHeight="false" outlineLevel="0" collapsed="false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customFormat="false" ht="15" hidden="false" customHeight="false" outlineLevel="0" collapsed="false">
      <c r="A9" s="6" t="s">
        <v>480</v>
      </c>
      <c r="B9" s="6" t="s">
        <v>481</v>
      </c>
      <c r="C9" s="6" t="s">
        <v>139</v>
      </c>
      <c r="M9" s="6" t="s">
        <v>297</v>
      </c>
    </row>
    <row r="10" customFormat="false" ht="15" hidden="false" customHeight="false" outlineLevel="0" collapsed="false">
      <c r="A10" s="6" t="s">
        <v>482</v>
      </c>
      <c r="C10" s="6" t="s">
        <v>140</v>
      </c>
      <c r="M10" s="6" t="s">
        <v>483</v>
      </c>
    </row>
    <row r="11" customFormat="false" ht="15" hidden="false" customHeight="false" outlineLevel="0" collapsed="false">
      <c r="A11" s="6" t="s">
        <v>222</v>
      </c>
      <c r="C11" s="6" t="s">
        <v>141</v>
      </c>
      <c r="M11" s="6" t="s">
        <v>332</v>
      </c>
    </row>
    <row r="12" customFormat="false" ht="15" hidden="false" customHeight="false" outlineLevel="0" collapsed="false">
      <c r="A12" s="6" t="s">
        <v>484</v>
      </c>
      <c r="C12" s="6" t="s">
        <v>142</v>
      </c>
      <c r="M12" s="6" t="s">
        <v>485</v>
      </c>
    </row>
    <row r="13" customFormat="false" ht="15" hidden="false" customHeight="false" outlineLevel="0" collapsed="false">
      <c r="A13" s="6" t="s">
        <v>486</v>
      </c>
      <c r="C13" s="6" t="s">
        <v>143</v>
      </c>
    </row>
    <row r="14" customFormat="false" ht="15" hidden="false" customHeight="false" outlineLevel="0" collapsed="false">
      <c r="A14" s="6" t="s">
        <v>94</v>
      </c>
      <c r="C14" s="6" t="s">
        <v>144</v>
      </c>
    </row>
    <row r="15" customFormat="false" ht="15" hidden="false" customHeight="false" outlineLevel="0" collapsed="false">
      <c r="A15" s="6" t="s">
        <v>487</v>
      </c>
      <c r="C15" s="6" t="s">
        <v>488</v>
      </c>
    </row>
    <row r="16" customFormat="false" ht="15" hidden="false" customHeight="false" outlineLevel="0" collapsed="false">
      <c r="A16" s="6" t="s">
        <v>489</v>
      </c>
    </row>
    <row r="17" customFormat="false" ht="15" hidden="false" customHeight="false" outlineLevel="0" collapsed="false">
      <c r="A17" s="6" t="s">
        <v>490</v>
      </c>
    </row>
    <row r="18" customFormat="false" ht="15" hidden="false" customHeight="false" outlineLevel="0" collapsed="false">
      <c r="A18" s="6" t="s">
        <v>268</v>
      </c>
    </row>
    <row r="19" customFormat="false" ht="15" hidden="false" customHeight="false" outlineLevel="0" collapsed="false">
      <c r="A19" s="6" t="s">
        <v>491</v>
      </c>
    </row>
    <row r="20" customFormat="false" ht="15" hidden="false" customHeight="false" outlineLevel="0" collapsed="false">
      <c r="A20" s="6" t="s">
        <v>492</v>
      </c>
    </row>
    <row r="21" customFormat="false" ht="15" hidden="false" customHeight="false" outlineLevel="0" collapsed="false">
      <c r="A21" s="6" t="s">
        <v>493</v>
      </c>
    </row>
    <row r="22" customFormat="false" ht="15" hidden="false" customHeight="false" outlineLevel="0" collapsed="false">
      <c r="A22" s="6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2026-10-28T21:26:22Z</dcterms:created>
  <dc:creator>openpyxl</dc:creator>
  <dc:description/>
  <dc:language>en-US</dc:language>
  <cp:lastModifiedBy/>
  <dcterms:modified xsi:type="dcterms:W3CDTF">2026-10-28T21:26:22Z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