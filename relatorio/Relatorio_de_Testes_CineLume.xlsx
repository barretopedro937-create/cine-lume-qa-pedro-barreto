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luno\Documents\GitHub\cinelume-qa\relatorio\"/>
    </mc:Choice>
  </mc:AlternateContent>
  <xr:revisionPtr revIDLastSave="0" documentId="13_ncr:1_{971E39B6-7A20-4D00-9FA7-B047963AE2C0}" xr6:coauthVersionLast="47" xr6:coauthVersionMax="47" xr10:uidLastSave="{00000000-0000-0000-0000-000000000000}"/>
  <bookViews>
    <workbookView xWindow="-108" yWindow="-108" windowWidth="23256" windowHeight="12456" tabRatio="500" firstSheet="4" activeTab="6" xr2:uid="{00000000-000D-0000-FFFF-FFFF00000000}"/>
  </bookViews>
  <sheets>
    <sheet name="0_Instrucoes" sheetId="1" r:id="rId1"/>
    <sheet name="1_Identificacao" sheetId="2" r:id="rId2"/>
    <sheet name="2_Smoke_Test" sheetId="3" r:id="rId3"/>
    <sheet name="3_Revisao_Estatica" sheetId="4" r:id="rId4"/>
    <sheet name="4_Plano_de_Testes" sheetId="5" r:id="rId5"/>
    <sheet name="5_Casos_de_Teste" sheetId="6" r:id="rId6"/>
    <sheet name="6_Bugs" sheetId="7" r:id="rId7"/>
    <sheet name="7_Nao_Funcionais" sheetId="8" r:id="rId8"/>
    <sheet name="8_Caixa_Branca" sheetId="9" r:id="rId9"/>
    <sheet name="9_Automacao" sheetId="10" r:id="rId10"/>
    <sheet name="10_Correcao" sheetId="11" r:id="rId11"/>
    <sheet name="11_Relatorio_Final" sheetId="12" r:id="rId12"/>
    <sheet name="12_Uso_de_IA" sheetId="13" r:id="rId13"/>
    <sheet name="Listas" sheetId="14" state="hidden"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 xmlns:loext="http://schemas.libreoffice.org/" uri="{7626C862-2A13-11E5-B345-FEFF819CDC9F}">
      <loext:extCalcPr stringRefSyntax="ExcelA1"/>
    </ext>
  </extLst>
</workbook>
</file>

<file path=xl/calcChain.xml><?xml version="1.0" encoding="utf-8"?>
<calcChain xmlns="http://schemas.openxmlformats.org/spreadsheetml/2006/main">
  <c r="B23" i="12" l="1"/>
  <c r="B22" i="12"/>
  <c r="B21" i="12"/>
  <c r="B20" i="12"/>
  <c r="B19" i="12"/>
  <c r="B18" i="12"/>
  <c r="B17" i="12"/>
  <c r="B16" i="12"/>
  <c r="B15" i="12"/>
  <c r="B14" i="12"/>
  <c r="B13" i="12"/>
  <c r="B12" i="12"/>
  <c r="B11" i="12"/>
  <c r="B9" i="12"/>
  <c r="B8" i="12"/>
  <c r="B7" i="12"/>
  <c r="B6" i="12"/>
  <c r="B5" i="12"/>
  <c r="B10" i="12" l="1"/>
</calcChain>
</file>

<file path=xl/sharedStrings.xml><?xml version="1.0" encoding="utf-8"?>
<sst xmlns="http://schemas.openxmlformats.org/spreadsheetml/2006/main" count="821" uniqueCount="606">
  <si>
    <t>Relatório de Testes — CineLume v1.0</t>
  </si>
  <si>
    <t>Leia antes de começar.</t>
  </si>
  <si>
    <t>Como preencher</t>
  </si>
  <si>
    <t>1</t>
  </si>
  <si>
    <t>Preencha apenas as células amarelas. As células azuis trazem IDs fixos: não altere.</t>
  </si>
  <si>
    <t>2</t>
  </si>
  <si>
    <t>Não renomeie, apague, mova ou reordene abas, linhas de cabeçalho ou colunas.</t>
  </si>
  <si>
    <t>3</t>
  </si>
  <si>
    <t>Use as listas suspensas sempre que a célula tiver uma (RN, técnica, tipo, status, severidade).</t>
  </si>
  <si>
    <t>4</t>
  </si>
  <si>
    <t>A linha cinza de cada aba é um EXEMPLO. Deixe-a como está e comece na linha seguinte.</t>
  </si>
  <si>
    <t>5</t>
  </si>
  <si>
    <t>Todo caso de teste, bug e teste não-funcional cita a regra de negócio (RN) do REQUISITOS.md.</t>
  </si>
  <si>
    <t>6</t>
  </si>
  <si>
    <t>Relacione as abas pelos IDs: um caso que falhou aponta para o BUG; o bug aponta para o caso.</t>
  </si>
  <si>
    <t>7</t>
  </si>
  <si>
    <t>Prints vão em relatorio/evidencias/ com o nome do ID (ex.: BUG-03.png). Na coluna Evidência, escreva o nome do arquivo.</t>
  </si>
  <si>
    <t>8</t>
  </si>
  <si>
    <t>Renomeie este arquivo para Relatorio_de_Testes_CineLume_SeuNome.xlsx antes do primeiro commit.</t>
  </si>
  <si>
    <t>Abas e missões</t>
  </si>
  <si>
    <t>1_Identificacao</t>
  </si>
  <si>
    <t>Antes de começar</t>
  </si>
  <si>
    <t>2_Smoke_Test e 3_Revisao_Estatica</t>
  </si>
  <si>
    <t>Missão 1 — Reconhecimento</t>
  </si>
  <si>
    <t>4_Plano_de_Testes e 5_Casos_de_Teste</t>
  </si>
  <si>
    <t>Missão 2 — Planejamento (no mínimo 15 casos)</t>
  </si>
  <si>
    <t>5_Casos_de_Teste e 6_Bugs</t>
  </si>
  <si>
    <t>Missão 3 — Execução e registro de bugs (no mínimo 6 bugs)</t>
  </si>
  <si>
    <t>7_Nao_Funcionais</t>
  </si>
  <si>
    <t>Missão 4 — Testes não-funcionais (no mínimo 5)</t>
  </si>
  <si>
    <t>8_Caixa_Branca e 9_Automacao</t>
  </si>
  <si>
    <t>Missão 5 — Caixa branca e testes automáticos (no mínimo 8)</t>
  </si>
  <si>
    <t>10_Correcao</t>
  </si>
  <si>
    <t>Missão 6 — Correção, confirmação e regressão</t>
  </si>
  <si>
    <t>11_Relatorio_Final</t>
  </si>
  <si>
    <t>Missão 7 — Números (automáticos) e recomendação</t>
  </si>
  <si>
    <t>12_Uso_de_IA</t>
  </si>
  <si>
    <t>Sempre que usar IA</t>
  </si>
  <si>
    <t>Severidade</t>
  </si>
  <si>
    <t>Crítica</t>
  </si>
  <si>
    <t>Causa prejuízo financeiro, expõe dados ou impede a compra.</t>
  </si>
  <si>
    <t>Alta</t>
  </si>
  <si>
    <t>Cobra valor errado ou quebra uma regra de negócio importante, sem impedir a compra.</t>
  </si>
  <si>
    <t>Média</t>
  </si>
  <si>
    <t>Quebra uma regra secundária ou um limite, com contorno possível.</t>
  </si>
  <si>
    <t>Baixa</t>
  </si>
  <si>
    <t>Problema visual ou de formatação, sem efeito no valor cobrado.</t>
  </si>
  <si>
    <t>1. Identificação</t>
  </si>
  <si>
    <t>Preencha antes de começar a Missão 1.</t>
  </si>
  <si>
    <t>Nome completo</t>
  </si>
  <si>
    <t>Usuário do GitHub</t>
  </si>
  <si>
    <t>Link do repositório</t>
  </si>
  <si>
    <t>Ex.: https://github.com/usuario/cinelume-qa-nome-sobrenome</t>
  </si>
  <si>
    <t>Data</t>
  </si>
  <si>
    <t>dd/mm/aaaa</t>
  </si>
  <si>
    <t>Navegador e versão</t>
  </si>
  <si>
    <t>Ex.: Chrome 130</t>
  </si>
  <si>
    <t>Sistema operacional</t>
  </si>
  <si>
    <t>Ex.: Windows 11</t>
  </si>
  <si>
    <t>Hora de início</t>
  </si>
  <si>
    <t>hh:mm</t>
  </si>
  <si>
    <t>Hora de término</t>
  </si>
  <si>
    <t>2. Smoke test (Missão 1)</t>
  </si>
  <si>
    <t>Verificações rápidas: o sistema está estável o bastante para ser testado a fundo?</t>
  </si>
  <si>
    <t>ID</t>
  </si>
  <si>
    <t>Verificação</t>
  </si>
  <si>
    <t>Resultado</t>
  </si>
  <si>
    <t>Observação</t>
  </si>
  <si>
    <t>SMK-01</t>
  </si>
  <si>
    <t>A página abre sem erros no Console (F12)</t>
  </si>
  <si>
    <t>SMK-02</t>
  </si>
  <si>
    <t>Os 4 filmes aparecem, cada um com suas sessões</t>
  </si>
  <si>
    <t>SMK-03</t>
  </si>
  <si>
    <t>Ao escolher uma sessão, o mapa de assentos aparece</t>
  </si>
  <si>
    <t>SMK-04</t>
  </si>
  <si>
    <t>É possível escolher um assento e o resumo mostra um valor</t>
  </si>
  <si>
    <t>SMK-05</t>
  </si>
  <si>
    <t>É possível adicionar um item da bomboniere</t>
  </si>
  <si>
    <t>SMK-06</t>
  </si>
  <si>
    <t>O botão Aplicar do cupom responde</t>
  </si>
  <si>
    <t>SMK-07</t>
  </si>
  <si>
    <t>As formas de pagamento podem ser selecionadas</t>
  </si>
  <si>
    <t>SMK-08</t>
  </si>
  <si>
    <t>Com dados válidos, a compra chega à tela de confirmação</t>
  </si>
  <si>
    <t>Veredito</t>
  </si>
  <si>
    <t>Justificativa</t>
  </si>
  <si>
    <t>3. Revisão estática dos requisitos (Missão 1)</t>
  </si>
  <si>
    <t>Leia o REQUISITOS.md sem executar o sistema. Registre ambiguidades, lacunas, contradições ou regras que não dá para testar. Mínimo: 2.</t>
  </si>
  <si>
    <t>RN</t>
  </si>
  <si>
    <t>Trecho do requisito</t>
  </si>
  <si>
    <t>Tipo do problema</t>
  </si>
  <si>
    <t>Problema encontrado</t>
  </si>
  <si>
    <t>Pergunta ou sugestão ao cliente</t>
  </si>
  <si>
    <t>RE-00</t>
  </si>
  <si>
    <t>RN13</t>
  </si>
  <si>
    <t>"Celular (opcional)"</t>
  </si>
  <si>
    <t>Lacuna</t>
  </si>
  <si>
    <t>O requisito não diz qual formato o celular deve ter, nem se é validado quando preenchido.</t>
  </si>
  <si>
    <t>O celular deve ser validado quando informado? Qual formato?</t>
  </si>
  <si>
    <t>RE-01</t>
  </si>
  <si>
    <t>RE-02</t>
  </si>
  <si>
    <t>RE-03</t>
  </si>
  <si>
    <t>RE-04</t>
  </si>
  <si>
    <t>RE-05</t>
  </si>
  <si>
    <t>RE-06</t>
  </si>
  <si>
    <t>RE-07</t>
  </si>
  <si>
    <t>RE-08</t>
  </si>
  <si>
    <t>RE-09</t>
  </si>
  <si>
    <t>RE-10</t>
  </si>
  <si>
    <t>Planeje antes de executar. Seja específico: o que será testado, como e quando o sistema está pronto.</t>
  </si>
  <si>
    <t>Objetivo do teste</t>
  </si>
  <si>
    <t>Itens que serão testados (escopo)</t>
  </si>
  <si>
    <t>Funcionalidades e regras</t>
  </si>
  <si>
    <t>Itens fora do escopo</t>
  </si>
  <si>
    <t>Estratégia</t>
  </si>
  <si>
    <t>Escolha na lista e justifique na linha seguinte</t>
  </si>
  <si>
    <t>Justificativa da estratégia</t>
  </si>
  <si>
    <t>Níveis de teste que serão usados</t>
  </si>
  <si>
    <t>Unitário, integração, sistema, aceitação</t>
  </si>
  <si>
    <t>Técnicas de modelagem que serão usadas</t>
  </si>
  <si>
    <t>Ex.: partição de equivalência, valor limite</t>
  </si>
  <si>
    <t>Ambiente de teste</t>
  </si>
  <si>
    <t>Navegador, sistema, ferramentas (DevTools, Lighthouse, VS Code)</t>
  </si>
  <si>
    <t>Critério de entrada</t>
  </si>
  <si>
    <t>Quando o teste pode começar?</t>
  </si>
  <si>
    <t>Critério de saída</t>
  </si>
  <si>
    <t>Quando o sistema pode ser lançado? Use a seção 6 do REQUISITOS.md</t>
  </si>
  <si>
    <t>Riscos do teste</t>
  </si>
  <si>
    <t>O que pode atrapalhar ou o que pode ficar de fora</t>
  </si>
  <si>
    <t>Tipos de teste previstos</t>
  </si>
  <si>
    <t>Tipo de teste</t>
  </si>
  <si>
    <t>Será executado?</t>
  </si>
  <si>
    <t>Justificativa ou RN relacionada</t>
  </si>
  <si>
    <t>Funcional</t>
  </si>
  <si>
    <t>Regressão</t>
  </si>
  <si>
    <t>Confirmação</t>
  </si>
  <si>
    <t>Exploratório</t>
  </si>
  <si>
    <t>Desempenho</t>
  </si>
  <si>
    <t>Carga</t>
  </si>
  <si>
    <t>Estresse</t>
  </si>
  <si>
    <t>Volume</t>
  </si>
  <si>
    <t>Segurança</t>
  </si>
  <si>
    <t>Recuperação</t>
  </si>
  <si>
    <t>Acessibilidade</t>
  </si>
  <si>
    <t>Aceitação</t>
  </si>
  <si>
    <t>M2: preencha as colunas B a K (projeto do caso). M3: execute e preencha L a O. Mínimo: 15 casos, pelo menos 5 de valor limite.</t>
  </si>
  <si>
    <t>CA</t>
  </si>
  <si>
    <t>Técnica</t>
  </si>
  <si>
    <t>Nível</t>
  </si>
  <si>
    <t>Título</t>
  </si>
  <si>
    <t>Pré-condições</t>
  </si>
  <si>
    <t>Passos</t>
  </si>
  <si>
    <t>Dados de entrada</t>
  </si>
  <si>
    <t>Resultado esperado</t>
  </si>
  <si>
    <t>Resultado obtido</t>
  </si>
  <si>
    <t>Status</t>
  </si>
  <si>
    <t>Bug relacionado</t>
  </si>
  <si>
    <t>Evidência</t>
  </si>
  <si>
    <t>CT-00</t>
  </si>
  <si>
    <t>CA13.3</t>
  </si>
  <si>
    <t>Partição de equivalência</t>
  </si>
  <si>
    <t>Sistema</t>
  </si>
  <si>
    <t>E-mail sem @ é recusado</t>
  </si>
  <si>
    <t>Sessão e 1 assento escolhidos; nome e CPF válidos</t>
  </si>
  <si>
    <t>1. Digitar o e-mail
2. Escolher Pix
3. Clicar em Confirmar compra</t>
  </si>
  <si>
    <t>E-mail: ana.exemplo.com</t>
  </si>
  <si>
    <t>Compra não confirmada; mensagem "Informe um e-mail válido."</t>
  </si>
  <si>
    <t>Mensagem exibida; compra não confirmada</t>
  </si>
  <si>
    <t>Passou</t>
  </si>
  <si>
    <t>CT-01</t>
  </si>
  <si>
    <t>CT-02</t>
  </si>
  <si>
    <t>CT-03</t>
  </si>
  <si>
    <t>CT-04</t>
  </si>
  <si>
    <t>CT-05</t>
  </si>
  <si>
    <t>CT-06</t>
  </si>
  <si>
    <t>CT-07</t>
  </si>
  <si>
    <t>CT-08</t>
  </si>
  <si>
    <t>CT-09</t>
  </si>
  <si>
    <t>CT-10</t>
  </si>
  <si>
    <t>CT-11</t>
  </si>
  <si>
    <t>CT-12</t>
  </si>
  <si>
    <t>CT-13</t>
  </si>
  <si>
    <t>CT-14</t>
  </si>
  <si>
    <t>CT-15</t>
  </si>
  <si>
    <t>CT-16</t>
  </si>
  <si>
    <t>CT-17</t>
  </si>
  <si>
    <t>CT-18</t>
  </si>
  <si>
    <t>CT-19</t>
  </si>
  <si>
    <t>CT-20</t>
  </si>
  <si>
    <t>CT-21</t>
  </si>
  <si>
    <t>CT-22</t>
  </si>
  <si>
    <t>CT-23</t>
  </si>
  <si>
    <t>CT-24</t>
  </si>
  <si>
    <t>CT-25</t>
  </si>
  <si>
    <t>CT-26</t>
  </si>
  <si>
    <t>CT-27</t>
  </si>
  <si>
    <t>CT-28</t>
  </si>
  <si>
    <t>CT-29</t>
  </si>
  <si>
    <t>CT-30</t>
  </si>
  <si>
    <t>CT-31</t>
  </si>
  <si>
    <t>CT-32</t>
  </si>
  <si>
    <t>CT-33</t>
  </si>
  <si>
    <t>CT-34</t>
  </si>
  <si>
    <t>CT-35</t>
  </si>
  <si>
    <t>CT-36</t>
  </si>
  <si>
    <t>CT-37</t>
  </si>
  <si>
    <t>CT-38</t>
  </si>
  <si>
    <t>CT-39</t>
  </si>
  <si>
    <t>CT-40</t>
  </si>
  <si>
    <t>6. Relatórios de bug (Missão 3 em diante)</t>
  </si>
  <si>
    <t>Um bug por linha. Passos precisam permitir que outra pessoa reproduza. Mínimo: 6 bugs, cada um com evidência.</t>
  </si>
  <si>
    <t>RN violada</t>
  </si>
  <si>
    <t>Caso de teste</t>
  </si>
  <si>
    <t>Prioridade</t>
  </si>
  <si>
    <t>Passos para reproduzir</t>
  </si>
  <si>
    <t>Dados usados</t>
  </si>
  <si>
    <t>Status do bug</t>
  </si>
  <si>
    <t>Missão</t>
  </si>
  <si>
    <t>BUG-00</t>
  </si>
  <si>
    <t>EXEMPLO FICTÍCIO: cupom inexistente não mostra mensagem</t>
  </si>
  <si>
    <t>RN10</t>
  </si>
  <si>
    <t>CA10.4</t>
  </si>
  <si>
    <t>1. Escolher uma sessão e 1 assento
2. Digitar XYZ no campo de cupom
3. Clicar em Aplicar</t>
  </si>
  <si>
    <t>Cupom: XYZ</t>
  </si>
  <si>
    <t>Mensagem "Cupom inválido."</t>
  </si>
  <si>
    <t>Nenhuma mensagem aparece</t>
  </si>
  <si>
    <t>BUG-00.png</t>
  </si>
  <si>
    <t>Aberto</t>
  </si>
  <si>
    <t>M3</t>
  </si>
  <si>
    <t>BUG-01</t>
  </si>
  <si>
    <t>BUG-02</t>
  </si>
  <si>
    <t>BUG-03</t>
  </si>
  <si>
    <t>BUG-04</t>
  </si>
  <si>
    <t>BUG-05</t>
  </si>
  <si>
    <t>BUG-06</t>
  </si>
  <si>
    <t>BUG-07</t>
  </si>
  <si>
    <t>BUG-08</t>
  </si>
  <si>
    <t>BUG-09</t>
  </si>
  <si>
    <t>BUG-10</t>
  </si>
  <si>
    <t>BUG-11</t>
  </si>
  <si>
    <t>BUG-12</t>
  </si>
  <si>
    <t>BUG-13</t>
  </si>
  <si>
    <t>BUG-14</t>
  </si>
  <si>
    <t>BUG-15</t>
  </si>
  <si>
    <t>BUG-16</t>
  </si>
  <si>
    <t>BUG-17</t>
  </si>
  <si>
    <t>BUG-18</t>
  </si>
  <si>
    <t>BUG-19</t>
  </si>
  <si>
    <t>BUG-20</t>
  </si>
  <si>
    <t>BUG-21</t>
  </si>
  <si>
    <t>BUG-22</t>
  </si>
  <si>
    <t>BUG-23</t>
  </si>
  <si>
    <t>BUG-24</t>
  </si>
  <si>
    <t>BUG-25</t>
  </si>
  <si>
    <t>BUG-26</t>
  </si>
  <si>
    <t>BUG-27</t>
  </si>
  <si>
    <t>BUG-28</t>
  </si>
  <si>
    <t>BUG-29</t>
  </si>
  <si>
    <t>BUG-30</t>
  </si>
  <si>
    <t>7. Testes não-funcionais (Missão 4)</t>
  </si>
  <si>
    <t>Cada teste tem uma medida (número, contagem ou observação objetiva) e um critério. Mínimo: 5 testes, de tipos diferentes, com evidência.</t>
  </si>
  <si>
    <t>O que foi medido</t>
  </si>
  <si>
    <t>Como testou (ferramenta e passos)</t>
  </si>
  <si>
    <t>Valor obtido</t>
  </si>
  <si>
    <t>Critério de aceitação</t>
  </si>
  <si>
    <t>NF-00</t>
  </si>
  <si>
    <t>RN17</t>
  </si>
  <si>
    <t>Tempo para calcular 1.000 pedidos</t>
  </si>
  <si>
    <t>Console: console.time + laço com atualizarResumo() 1.000 vezes</t>
  </si>
  <si>
    <t>42 ms</t>
  </si>
  <si>
    <t>Até 1.000 ms</t>
  </si>
  <si>
    <t>NF-00.png</t>
  </si>
  <si>
    <t>NF-01</t>
  </si>
  <si>
    <t>NF-02</t>
  </si>
  <si>
    <t>NF-03</t>
  </si>
  <si>
    <t>NF-04</t>
  </si>
  <si>
    <t>NF-05</t>
  </si>
  <si>
    <t>NF-06</t>
  </si>
  <si>
    <t>NF-07</t>
  </si>
  <si>
    <t>NF-08</t>
  </si>
  <si>
    <t>NF-09</t>
  </si>
  <si>
    <t>NF-10</t>
  </si>
  <si>
    <t>NF-11</t>
  </si>
  <si>
    <t>NF-12</t>
  </si>
  <si>
    <t>NF-13</t>
  </si>
  <si>
    <t>NF-14</t>
  </si>
  <si>
    <t>NF-15</t>
  </si>
  <si>
    <t>8. Teste de caixa branca (Missão 5)</t>
  </si>
  <si>
    <t>Leia js/regras.js. Para cada condição (if) das funções escolhidas, registre uma entrada que passe por aquele caminho e compare com a RN.</t>
  </si>
  <si>
    <t>Função</t>
  </si>
  <si>
    <t>Condição ou trecho analisado</t>
  </si>
  <si>
    <t>Caminho coberto</t>
  </si>
  <si>
    <t>Entrada usada</t>
  </si>
  <si>
    <t>Resultado esperado (pela RN)</t>
  </si>
  <si>
    <t>CB-00</t>
  </si>
  <si>
    <t>validarNome</t>
  </si>
  <si>
    <t>nome.trim().length &gt;= 3</t>
  </si>
  <si>
    <t>Condição falsa</t>
  </si>
  <si>
    <t>validarNome("Al")</t>
  </si>
  <si>
    <t>false (RN13: mínimo de 3 caracteres)</t>
  </si>
  <si>
    <t>false</t>
  </si>
  <si>
    <t>CB-01</t>
  </si>
  <si>
    <t>CB-02</t>
  </si>
  <si>
    <t>CB-03</t>
  </si>
  <si>
    <t>CB-04</t>
  </si>
  <si>
    <t>CB-05</t>
  </si>
  <si>
    <t>CB-06</t>
  </si>
  <si>
    <t>CB-07</t>
  </si>
  <si>
    <t>CB-08</t>
  </si>
  <si>
    <t>CB-09</t>
  </si>
  <si>
    <t>CB-10</t>
  </si>
  <si>
    <t>CB-11</t>
  </si>
  <si>
    <t>CB-12</t>
  </si>
  <si>
    <t>CB-13</t>
  </si>
  <si>
    <t>CB-14</t>
  </si>
  <si>
    <t>CB-15</t>
  </si>
  <si>
    <t>CB-16</t>
  </si>
  <si>
    <t>CB-17</t>
  </si>
  <si>
    <t>CB-18</t>
  </si>
  <si>
    <t>CB-19</t>
  </si>
  <si>
    <t>CB-20</t>
  </si>
  <si>
    <t>9. Testes automáticos (Missão 5)</t>
  </si>
  <si>
    <t>Cada linha corresponde a um testar(...) em testes/testes.html, com o mesmo ID. Mínimo: 8 testes.</t>
  </si>
  <si>
    <t>Função testada</t>
  </si>
  <si>
    <t>O que o teste verifica</t>
  </si>
  <si>
    <t>Chamada usada no testes.html</t>
  </si>
  <si>
    <t>Esperado</t>
  </si>
  <si>
    <t>Obtido</t>
  </si>
  <si>
    <t>Resultado no testes.html</t>
  </si>
  <si>
    <t>AT-EX1</t>
  </si>
  <si>
    <t>validarEmail</t>
  </si>
  <si>
    <t>E-mail com @ e domínio é aceito</t>
  </si>
  <si>
    <t>testar('AT-EX1', '...', validarEmail('ana@exemplo.com'), true);</t>
  </si>
  <si>
    <t>true</t>
  </si>
  <si>
    <t>AT01</t>
  </si>
  <si>
    <t>AT02</t>
  </si>
  <si>
    <t>AT03</t>
  </si>
  <si>
    <t>AT04</t>
  </si>
  <si>
    <t>AT05</t>
  </si>
  <si>
    <t>AT06</t>
  </si>
  <si>
    <t>AT07</t>
  </si>
  <si>
    <t>AT08</t>
  </si>
  <si>
    <t>AT09</t>
  </si>
  <si>
    <t>AT10</t>
  </si>
  <si>
    <t>AT11</t>
  </si>
  <si>
    <t>AT12</t>
  </si>
  <si>
    <t>AT13</t>
  </si>
  <si>
    <t>AT14</t>
  </si>
  <si>
    <t>AT15</t>
  </si>
  <si>
    <t>AT16</t>
  </si>
  <si>
    <t>AT17</t>
  </si>
  <si>
    <t>AT18</t>
  </si>
  <si>
    <t>AT19</t>
  </si>
  <si>
    <t>AT20</t>
  </si>
  <si>
    <t>10. Correção, confirmação e regressão (Missão 6)</t>
  </si>
  <si>
    <t>Corrija pelo menos 1 bug. Depois confirme que ele sumiu e rode os testes automáticos de novo para ver se nada quebrou.</t>
  </si>
  <si>
    <t>Bug corrigido</t>
  </si>
  <si>
    <t>Arquivo</t>
  </si>
  <si>
    <t>Causa do defeito</t>
  </si>
  <si>
    <t>O que foi alterado</t>
  </si>
  <si>
    <t>Teste de confirmação (ID)</t>
  </si>
  <si>
    <t>Resultado da confirmação</t>
  </si>
  <si>
    <t>Regressão: testes passando antes</t>
  </si>
  <si>
    <t>Regressão: testes passando depois</t>
  </si>
  <si>
    <t>Algo quebrou?</t>
  </si>
  <si>
    <t>Hash do commit</t>
  </si>
  <si>
    <t>COR-01</t>
  </si>
  <si>
    <t>COR-02</t>
  </si>
  <si>
    <t>COR-03</t>
  </si>
  <si>
    <t>11. Relatório final (Missão 7)</t>
  </si>
  <si>
    <t>Os números da seção A são calculados sozinhos a partir das outras abas. Preencha a seção B.</t>
  </si>
  <si>
    <t>A. Números do teste</t>
  </si>
  <si>
    <t>Casos de teste escritos</t>
  </si>
  <si>
    <t>Casos que passaram</t>
  </si>
  <si>
    <t>Casos que falharam</t>
  </si>
  <si>
    <t>Casos bloqueados</t>
  </si>
  <si>
    <t>Casos não executados</t>
  </si>
  <si>
    <t>Taxa de aprovação dos casos executados</t>
  </si>
  <si>
    <t>Casos de valor limite</t>
  </si>
  <si>
    <t>Bugs registrados</t>
  </si>
  <si>
    <t>Bugs críticos</t>
  </si>
  <si>
    <t>Bugs altos</t>
  </si>
  <si>
    <t>Bugs médios</t>
  </si>
  <si>
    <t>Bugs baixos</t>
  </si>
  <si>
    <t>Bugs corrigidos</t>
  </si>
  <si>
    <t>Testes não-funcionais executados</t>
  </si>
  <si>
    <t>Testes não-funcionais que falharam</t>
  </si>
  <si>
    <t>Caminhos de caixa branca analisados</t>
  </si>
  <si>
    <t>Testes automáticos escritos</t>
  </si>
  <si>
    <t>Testes automáticos que passaram</t>
  </si>
  <si>
    <t>Testes automáticos que falharam</t>
  </si>
  <si>
    <t>B. Análise e recomendação</t>
  </si>
  <si>
    <t>Resumo executivo</t>
  </si>
  <si>
    <t>Até 5 linhas, para a diretoria do cinema</t>
  </si>
  <si>
    <t>Bug mais grave nº 1 (ID e motivo)</t>
  </si>
  <si>
    <t>Bug mais grave nº 2 (ID e motivo)</t>
  </si>
  <si>
    <t>Bug mais grave nº 3 (ID e motivo)</t>
  </si>
  <si>
    <t>Recomendação</t>
  </si>
  <si>
    <t>Escolha na lista</t>
  </si>
  <si>
    <t>Justificativa da recomendação</t>
  </si>
  <si>
    <t>Relacione com o critério de lançamento (seção 6 do REQUISITOS.md)</t>
  </si>
  <si>
    <t>O que ficou sem testar e qual o risco</t>
  </si>
  <si>
    <t>O que você faria diferente num próximo ciclo de testes</t>
  </si>
  <si>
    <t>12. Uso de inteligência artificial</t>
  </si>
  <si>
    <t>Se usou IA em qualquer missão, registre aqui. Se não usou, escreva "Não usei IA" na linha IA-01.</t>
  </si>
  <si>
    <t>Ferramenta</t>
  </si>
  <si>
    <t>Prompt usado</t>
  </si>
  <si>
    <t>O que a IA respondeu (resumo)</t>
  </si>
  <si>
    <t>O que você aproveitou</t>
  </si>
  <si>
    <t>O que você conferiu ou corrigiu</t>
  </si>
  <si>
    <t>IA-01</t>
  </si>
  <si>
    <t>IA-02</t>
  </si>
  <si>
    <t>IA-03</t>
  </si>
  <si>
    <t>IA-04</t>
  </si>
  <si>
    <t>IA-05</t>
  </si>
  <si>
    <t>IA-06</t>
  </si>
  <si>
    <t>IA-07</t>
  </si>
  <si>
    <t>IA-08</t>
  </si>
  <si>
    <t>IA-09</t>
  </si>
  <si>
    <t>IA-10</t>
  </si>
  <si>
    <t>Tecnica</t>
  </si>
  <si>
    <t>Tipo</t>
  </si>
  <si>
    <t>Nivel</t>
  </si>
  <si>
    <t>StatusBug</t>
  </si>
  <si>
    <t>SimNao</t>
  </si>
  <si>
    <t>Smoke</t>
  </si>
  <si>
    <t>Recomendacao</t>
  </si>
  <si>
    <t>Funcao</t>
  </si>
  <si>
    <t>Missao</t>
  </si>
  <si>
    <t>ProblemaReq</t>
  </si>
  <si>
    <t>Estrategia</t>
  </si>
  <si>
    <t>RN01</t>
  </si>
  <si>
    <t>Unitário</t>
  </si>
  <si>
    <t>Sim</t>
  </si>
  <si>
    <t>OK</t>
  </si>
  <si>
    <t>Apto para testes</t>
  </si>
  <si>
    <t>Lançar</t>
  </si>
  <si>
    <t>precoBaseSessao</t>
  </si>
  <si>
    <t>M1</t>
  </si>
  <si>
    <t>Ambiguidade</t>
  </si>
  <si>
    <t>Preventiva</t>
  </si>
  <si>
    <t>RN02</t>
  </si>
  <si>
    <t>Valor limite</t>
  </si>
  <si>
    <t>Integração</t>
  </si>
  <si>
    <t>Falhou</t>
  </si>
  <si>
    <t>Corrigido</t>
  </si>
  <si>
    <t>Não</t>
  </si>
  <si>
    <t>Não apto</t>
  </si>
  <si>
    <t>Lançar com ressalvas</t>
  </si>
  <si>
    <t>calcularIngressos</t>
  </si>
  <si>
    <t>M2</t>
  </si>
  <si>
    <t>Reativa</t>
  </si>
  <si>
    <t>RN03</t>
  </si>
  <si>
    <t>Tabela de decisão</t>
  </si>
  <si>
    <t>Bloqueado</t>
  </si>
  <si>
    <t>Corrigido e confirmado</t>
  </si>
  <si>
    <t>Não lançar</t>
  </si>
  <si>
    <t>calcularBomboniere</t>
  </si>
  <si>
    <t>Contradição</t>
  </si>
  <si>
    <t>Preventiva e reativa</t>
  </si>
  <si>
    <t>RN04</t>
  </si>
  <si>
    <t>Transição de estados</t>
  </si>
  <si>
    <t>Não executado</t>
  </si>
  <si>
    <t>Não reproduzido</t>
  </si>
  <si>
    <t>contarItens</t>
  </si>
  <si>
    <t>M4</t>
  </si>
  <si>
    <t>Não testável</t>
  </si>
  <si>
    <t>RN05</t>
  </si>
  <si>
    <t>calcularTaxa</t>
  </si>
  <si>
    <t>M5</t>
  </si>
  <si>
    <t>RN06</t>
  </si>
  <si>
    <t>Caixa branca</t>
  </si>
  <si>
    <t>calcularDescontoCupom</t>
  </si>
  <si>
    <t>M6</t>
  </si>
  <si>
    <t>RN07</t>
  </si>
  <si>
    <t>Revisão estática</t>
  </si>
  <si>
    <t>calcularParcelasMaximas</t>
  </si>
  <si>
    <t>M7</t>
  </si>
  <si>
    <t>RN08</t>
  </si>
  <si>
    <t>Outra</t>
  </si>
  <si>
    <t>RN09</t>
  </si>
  <si>
    <t>validarCPF</t>
  </si>
  <si>
    <t>RN11</t>
  </si>
  <si>
    <t>formatarMoeda</t>
  </si>
  <si>
    <t>RN12</t>
  </si>
  <si>
    <t>RN14</t>
  </si>
  <si>
    <t>Usabilidade</t>
  </si>
  <si>
    <t>RN15</t>
  </si>
  <si>
    <t>RN16</t>
  </si>
  <si>
    <t>RN18</t>
  </si>
  <si>
    <t>RN19</t>
  </si>
  <si>
    <t>RN20</t>
  </si>
  <si>
    <t>RN21</t>
  </si>
  <si>
    <t>ok</t>
  </si>
  <si>
    <t xml:space="preserve"> </t>
  </si>
  <si>
    <t>A regra determina que a meia-entrada custa 50% do valor do ingresso (incluindo o adicional 3D). No entanto, sessões com valores bases ou adicionais que gerem números ímpares (ou quando combinadas com cupons percentuais)</t>
  </si>
  <si>
    <t>O Conflito do Arredondamento da Meia-Entrada com Valores Ímpares</t>
  </si>
  <si>
    <t>A RN09 diz que o cupom CINE10 dá 10% de desconto "apenas sobre o subtotal de ingressos". Contudo, o documento não especifica se esse desconto de 10% incide antes ou depois de somar a taxa de conveniência (RN08) ou se a base de cálculo exclui a taxa.</t>
  </si>
  <si>
    <t>Falta de Tratamento para Limite Inferior de Meias-Entradas</t>
  </si>
  <si>
    <t>A RN05 permite de 1 a 6 ingressos por pedido, e a RN03 diz que o número de meias não pode ser maior que o número de assentos. Porém, o documento omite se o número mínimo de meias pode ser 0 (permitindo apenas inteiras). Sem essa validação explícita no código, o sistema pode rejeitar pedidos 100% de inteiras exigindo obrigatoriamente pelo menos uma meia-entrada</t>
  </si>
  <si>
    <t>Conflito Dinâmico no Desconto Pix com Cupons e Taxas</t>
  </si>
  <si>
    <t>A RN11 define que o Pix dá 5% de desconto sobre o valor total do pedido (ingressos + taxa + bomboniere − cupom). Se o usuário alternar entre Pix e Cartão várias vezes (conforme o CA11.3 menciona), erros de arredondamento sucessivos em ponto flutuante (floating-point arithmetic) podem fazer o sistema acumular centavos de diferença ou estourar a trava de segurança de "nunca dar mais de 5%".</t>
  </si>
  <si>
    <t>tratam da seleção de assentos e de marcá-los como ocupados após a confirmação. Porém, o escopo desconsidera integração com banco de dados real e não há especificação de concorrência (o que acontece se dois usuários clicarem no mesmo assento do mesmo navegador simulado ao mesmo tempo antes da confirmação, gerando "overbooking" virtual na sala).</t>
  </si>
  <si>
    <t>Omissão da Regra para Estoque e Concorrência de Assentos (RN06 vs. RN15)</t>
  </si>
  <si>
    <t>O critério CA13.3 valida o e-mail apenas exigindo a presença do caractere @ (nome@dominio.extensao). Essa validação é frágil e aceita strings inválidas como @dominio ou abc@.com, permitindo que cadastros falsos ou corrompidos avancem para a etapa de finalização.</t>
  </si>
  <si>
    <t>Vazio Normativo sobre o Estorno do Pedido em Andamento</t>
  </si>
  <si>
    <t>garante que apertar F5 preserva o pedido em andamento. Contudo, o documento não define um tempo de expiração (timeout) para esse carrinho temporário. Se o usuário selecionar assentos e fechar o navegador, esses assentos ficam presos no estado "em andamento" indefinidamente sem que outras pessoas consigam comprá-los.</t>
  </si>
  <si>
    <t>Comportamento do Botão "Confirmar Compra" Múltiplo</t>
  </si>
  <si>
    <t>exige que múltiplos cliques no botão de confirmação gerem apenas um registro. Porém, a RN14 diz que o botão exibe "Processando pagamento...". Se o sistema demorar alguns segundos na simulação e o usuário impaciente clicar 3 vezes seguidas rapidamente antes da tela de travamento entrar em vigor, o frontend pode disparar requisições duplicadas.</t>
  </si>
  <si>
    <t>Falta de Restrição de Idade vs. Classificação Indicativa</t>
  </si>
  <si>
    <t>: A tabela de filmes lista classificações indicativas rígidas (ex: Cidade de Vidro é para 16 anos), mas nenhuma regra de negócio (RN01 a RN21) exige que o sistema valide a idade do comprador ou exiba um pop-up de termo de responsabilidade antes de permitir a escolha de assentos para sessões restritas.</t>
  </si>
  <si>
    <t>Incompatibilidade Lógica no Limite de Quantidade da Bomboniere</t>
  </si>
  <si>
    <t xml:space="preserve"> na Aplicação da Taxa de Conveniência com o Cupom CINE10</t>
  </si>
  <si>
    <t>A RN07 estipula que cada produto da bomboniere aceita quantidades inteiras de 0 a 10 (com correção automática para 10 se passar). Porém, se um cliente adicionar 10 unidades de cada um dos 5 itens da bomboniere simultaneamente, o subtotal da bomboniere explodirá de forma irrealista sem nenhuma trava de quantidade total de itens por transação, podendo burlar a lógica do cupom PIPOCA5 de forma abusiva.</t>
  </si>
  <si>
    <t>Permitir até 10 unidades de cada item simultaneamente sem um teto geral por transação pode gerar valores absurdos. Deve haver um limite máximo de itens por pedido ou uma trava de segurança para evitar abusos?</t>
  </si>
  <si>
    <t>A tabela exibe classificações indicativas (ex: 16 anos), mas o fluxo de compra não valida a idade do usuário. O sistema deve bloquear a seleção de assentos ou exigir confirmação de idade para filmes restritos?</t>
  </si>
  <si>
    <t>Para evitar que cliques múltiplos rápidos gerem registros duplicados antes da mensagem 'Processando pagamento...' aparecer, podemos desabilitar o botão de confirmação (pointer-events: none / disabled) imediatamente no primeiro clique?</t>
  </si>
  <si>
    <t>O pedido é mantido ao recarregar a página (F5), mas há um tempo limite de expiração para esse carrinho? Se o usuário fechar a aba, por quanto tempo os assentos selecionados ficam travados bloqueando outros compradores?</t>
  </si>
  <si>
    <t>A regra atual exige apenas a presença de '@' no e-mail. Podemos substituir a validação por uma Expressão Regular (Regex) robusta para impedir a entrada de e-mails mal formatados ou incompletos?</t>
  </si>
  <si>
    <t>O que acontece no sistema se dois usuários tentarem selecionar e comprar o mesmo assento simultaneamente antes da confirmação? Precisamos de um mecanismo de lock temporário ou validação de assentos ocupados no momento do checkout.</t>
  </si>
  <si>
    <t>Ao alternar repetidamente entre meios de pagamento (Cartão/Pix), a aplicação do desconto dinâmico de 5% pode gerar resíduos em ponto flutuante (ex: R$ 0,001 de diferença). Podemos padronizar o arredondamento para 2 casas decimais logo após calcular a porcentagem do Pix?</t>
  </si>
  <si>
    <t>A RN05 permite de 1 a 6 ingressos, mas a RN03 não especifica se a quantidade de meias pode ser zero (100% de inteiras). O sistema deve permitir pedidos sem nenhuma meia-entrada sem disparar erros de validação?</t>
  </si>
  <si>
    <t>O desconto de 10% do cupom CINE10 deve incidir estritamente sobre o valor bruto dos ingressos antes de somar a taxa de conveniência (R$ 2,50 por ingresso), ou a taxa também entra na base de cálculo? Favor esclarecer a ordem exata das operações no código.</t>
  </si>
  <si>
    <t>Como o sistema deve tratar os centavos resultantes do cálculo de 50% em valores ímpares (ex: truncar, arredondar para cima ou para baixo)? Precisamos definir uma função padrão de arredondamento monetário para evitar divergências no caixa.</t>
  </si>
  <si>
    <t>validar com teste funcionais detalhadamente a conformidade e regras de negocios do sistema</t>
  </si>
  <si>
    <t>validação de E-mail Excessivamente Simples</t>
  </si>
  <si>
    <t>validar quantidade de meia entrada por assentos,executar aplicação do cupom,testa o fluxo do botao de corfimação da compra, testa de restrição de idade</t>
  </si>
  <si>
    <t>Testar o sistema em um celular , Testar a integração com o gateway real de pagamento de um banco ,Testar a segurança contra ataques de invasão</t>
  </si>
  <si>
    <t>usamos testes funcionais , por que permite uma validação e execução por meio de fluxos de ponta a ponta</t>
  </si>
  <si>
    <t>unitários,aceitação ,integração</t>
  </si>
  <si>
    <t>Ánalise de valor limite ,participação equivalência</t>
  </si>
  <si>
    <t>vscode,sistema ,devtools</t>
  </si>
  <si>
    <t>Pelo menos 90% dos casos de teste executados tiverem passado</t>
  </si>
  <si>
    <t xml:space="preserve">correção dos bugs </t>
  </si>
  <si>
    <t>5. Casos de teste (Missões 2 e 3)+A1:I12</t>
  </si>
  <si>
    <t>acesse o navegador, escolha a sessão , escolhar 1 assento</t>
  </si>
  <si>
    <t>que o desconto seja aplicado so no ingresso</t>
  </si>
  <si>
    <t>na Aplicação da Taxa de Conveniência com o Cupom CINE10</t>
  </si>
  <si>
    <t>o desconto ate sendo aplicado com o valor total</t>
  </si>
  <si>
    <t>uso do cumpom :cine10</t>
  </si>
  <si>
    <t>use o desconto</t>
  </si>
  <si>
    <t>CA14.4</t>
  </si>
  <si>
    <t>CA15.5</t>
  </si>
  <si>
    <t>uso de email muito simples</t>
  </si>
  <si>
    <t>acesse o navegador, escolha a sessão , informe o dados pessoais</t>
  </si>
  <si>
    <t>email: vc@gmail.com</t>
  </si>
  <si>
    <t>email não tem quantidade certa de caractere</t>
  </si>
  <si>
    <t>preenchimento de dados pessoais</t>
  </si>
  <si>
    <t>Validação do limite mínimo de idade para sessões maiores de 18 anos</t>
  </si>
  <si>
    <t>Usuário na tela de cadastro ou seleção de filme restrito</t>
  </si>
  <si>
    <t xml:space="preserve"> Inserir a data de nascimento correspondente a 17 anos e 364 dias; Tentar avançar para a compra</t>
  </si>
  <si>
    <t>Data de nascimento: (Idade &lt; 18 anos)</t>
  </si>
  <si>
    <t>uso do cumpom</t>
  </si>
  <si>
    <t>CA 16.6</t>
  </si>
  <si>
    <t>Não tem opção</t>
  </si>
  <si>
    <t>O sistema deve bloquear o acesso à sessão e exibir alerta de restrição de idade.</t>
  </si>
  <si>
    <t>O sistema não esta exigindo idade</t>
  </si>
  <si>
    <t>CA17.7</t>
  </si>
  <si>
    <t>Fazer a finalização da compra</t>
  </si>
  <si>
    <t xml:space="preserve">escolha a sessão, Preenchar os dados , finalize a comprar </t>
  </si>
  <si>
    <t>preenche os dados</t>
  </si>
  <si>
    <t>o botão deve fica bloqueado durante o pagamento</t>
  </si>
  <si>
    <t>o botão esta livre para clicar varias vezes</t>
  </si>
  <si>
    <t>clique varias vezes no botão</t>
  </si>
  <si>
    <t>CA18.8</t>
  </si>
  <si>
    <t>escolha o pix ou o cartão para fazer comprar</t>
  </si>
  <si>
    <t>escolha a sessão, Preenchar os dados ,escolha forma de pagamento</t>
  </si>
  <si>
    <t>forma de pagamento</t>
  </si>
  <si>
    <t>o valor total não pode ser alterado ao escolha forma de pagamento</t>
  </si>
  <si>
    <t>o valor diminui a cada escolha da forma de pagamento</t>
  </si>
  <si>
    <t>fique alternado entre a forma de pagamento</t>
  </si>
  <si>
    <t>Escolha a sessão e saia dela</t>
  </si>
  <si>
    <t>acesse o navegador , escolha a sessão , sair da sessão</t>
  </si>
  <si>
    <t>ao sair da sessão o assento escolhido ser reiniciado</t>
  </si>
  <si>
    <t>ao escolhe o assento fica como se tivesse comprado ou não</t>
  </si>
  <si>
    <t>escolha o assento e saia da sessão</t>
  </si>
  <si>
    <t>Aplicação do cumpom cine10</t>
  </si>
  <si>
    <t>ct-01</t>
  </si>
  <si>
    <t>ct-02</t>
  </si>
  <si>
    <t>ct-03</t>
  </si>
  <si>
    <t>ct-04</t>
  </si>
  <si>
    <t>ct-05</t>
  </si>
  <si>
    <t>ct-06</t>
  </si>
  <si>
    <t>escolha o assento , digite o cumpom, clique em aplicar</t>
  </si>
  <si>
    <t>desconto no ingresso</t>
  </si>
  <si>
    <t>desconto no subtotal da compra</t>
  </si>
  <si>
    <t>escolha a sessao, preenchar os dados</t>
  </si>
  <si>
    <t>ter if e else para diferencia um email simples</t>
  </si>
  <si>
    <t>qualquer email pode ser usado</t>
  </si>
  <si>
    <t>conflito Dinâmico no Desconto Pix com Cupons e Taxas</t>
  </si>
  <si>
    <t>escolha de pagamento</t>
  </si>
  <si>
    <t>uso do email</t>
  </si>
  <si>
    <t>adicone o cumpom</t>
  </si>
  <si>
    <t>o valor total não subtrai com nenhum desconto  de pagamento</t>
  </si>
  <si>
    <t>ele dimuiniu a cada alteração de pagamento</t>
  </si>
  <si>
    <t>CA19.9</t>
  </si>
  <si>
    <t>CA 19.9</t>
  </si>
  <si>
    <t>acesse a sessão escolha o assento e saia dela</t>
  </si>
  <si>
    <t>ao sair da sessão que escolheu o assento que o site renicie</t>
  </si>
  <si>
    <t>dados pessoais</t>
  </si>
  <si>
    <t xml:space="preserve">fica como se tivesse comprado  </t>
  </si>
  <si>
    <t>o botão de confirma bloqueado durante processo</t>
  </si>
  <si>
    <t xml:space="preserve"> o botão fica acessivel</t>
  </si>
  <si>
    <t>preenche datas de nascimento</t>
  </si>
  <si>
    <t>ter os dados de nascimento</t>
  </si>
  <si>
    <t>não 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</si>
</sst>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charset val="1"/>
    </font>
    <font>
      <b/>
      <sz val="14"/>
      <color rgb="FF1B2440"/>
      <name val="Arial"/>
      <charset val="1"/>
    </font>
    <font>
      <i/>
      <sz val="10"/>
      <color rgb="FF555555"/>
      <name val="Arial"/>
      <charset val="1"/>
    </font>
    <font>
      <b/>
      <sz val="11"/>
      <color rgb="FF1B2440"/>
      <name val="Arial"/>
      <charset val="1"/>
    </font>
    <font>
      <sz val="10"/>
      <name val="Arial"/>
      <charset val="1"/>
    </font>
    <font>
      <b/>
      <sz val="10"/>
      <name val="Arial"/>
      <charset val="1"/>
    </font>
    <font>
      <b/>
      <sz val="10"/>
      <color rgb="FFFFFFFF"/>
      <name val="Arial"/>
      <charset val="1"/>
    </font>
    <font>
      <i/>
      <sz val="10"/>
      <color rgb="FF7F7F7F"/>
      <name val="Arial"/>
      <charset val="1"/>
    </font>
    <font>
      <b/>
      <sz val="8"/>
      <color rgb="FFC9D1D9"/>
      <name val="Consolas"/>
      <family val="3"/>
    </font>
    <font>
      <sz val="10"/>
      <name val="Arial"/>
      <family val="2"/>
    </font>
  </fonts>
  <fills count="6">
    <fill>
      <patternFill patternType="none"/>
    </fill>
    <fill>
      <patternFill patternType="gray125"/>
    </fill>
    <fill>
      <patternFill patternType="solid">
        <fgColor rgb="FFDCE3F2"/>
        <bgColor rgb="FFEDEDED"/>
      </patternFill>
    </fill>
    <fill>
      <patternFill patternType="solid">
        <fgColor rgb="FFFFF7DC"/>
        <bgColor rgb="FFFFFFFF"/>
      </patternFill>
    </fill>
    <fill>
      <patternFill patternType="solid">
        <fgColor rgb="FF1B2440"/>
        <bgColor rgb="FF003366"/>
      </patternFill>
    </fill>
    <fill>
      <patternFill patternType="solid">
        <fgColor rgb="FFEDEDED"/>
        <bgColor rgb="FFDCE3F2"/>
      </patternFill>
    </fill>
  </fills>
  <borders count="3">
    <border>
      <left/>
      <right/>
      <top/>
      <bottom/>
      <diagonal/>
    </border>
    <border>
      <left style="thin">
        <color rgb="FFC9CED8"/>
      </left>
      <right style="thin">
        <color rgb="FFC9CED8"/>
      </right>
      <top style="thin">
        <color rgb="FFC9CED8"/>
      </top>
      <bottom style="thin">
        <color rgb="FFC9CED8"/>
      </bottom>
      <diagonal/>
    </border>
    <border>
      <left style="thin">
        <color rgb="FFC9CED8"/>
      </left>
      <right/>
      <top style="thin">
        <color rgb="FFC9CED8"/>
      </top>
      <bottom style="thin">
        <color rgb="FFC9CED8"/>
      </bottom>
      <diagonal/>
    </border>
  </borders>
  <cellStyleXfs count="1">
    <xf numFmtId="0" fontId="0" fillId="0" borderId="0"/>
  </cellStyleXfs>
  <cellXfs count="24">
    <xf numFmtId="0" fontId="0" fillId="0" borderId="0" xfId="0"/>
    <xf numFmtId="0" fontId="1" fillId="0" borderId="0" xfId="0" applyFont="1"/>
    <xf numFmtId="0" fontId="2" fillId="0" borderId="0" xfId="0" applyFont="1" applyAlignment="1"/>
    <xf numFmtId="0" fontId="3" fillId="0" borderId="0" xfId="0" applyFont="1"/>
    <xf numFmtId="0" fontId="4" fillId="0" borderId="0" xfId="0" applyFont="1" applyAlignment="1">
      <alignment vertical="top" wrapText="1"/>
    </xf>
    <xf numFmtId="0" fontId="5" fillId="0" borderId="0" xfId="0" applyFont="1"/>
    <xf numFmtId="0" fontId="4" fillId="0" borderId="0" xfId="0" applyFont="1"/>
    <xf numFmtId="0" fontId="5" fillId="2" borderId="1" xfId="0" applyFont="1" applyFill="1" applyBorder="1" applyAlignment="1">
      <alignment vertical="top" wrapText="1"/>
    </xf>
    <xf numFmtId="0" fontId="4" fillId="3" borderId="1" xfId="0" applyFont="1" applyFill="1" applyBorder="1" applyAlignment="1">
      <alignment vertical="top" wrapText="1"/>
    </xf>
    <xf numFmtId="0" fontId="2" fillId="0" borderId="0" xfId="0" applyFont="1"/>
    <xf numFmtId="0" fontId="6" fillId="4" borderId="1" xfId="0" applyFont="1" applyFill="1" applyBorder="1" applyAlignment="1">
      <alignment horizontal="center" vertical="top" wrapText="1"/>
    </xf>
    <xf numFmtId="0" fontId="4" fillId="0" borderId="1" xfId="0" applyFont="1" applyBorder="1" applyAlignment="1">
      <alignment vertical="top" wrapText="1"/>
    </xf>
    <xf numFmtId="0" fontId="5" fillId="2" borderId="1" xfId="0" applyFont="1" applyFill="1" applyBorder="1"/>
    <xf numFmtId="0" fontId="0" fillId="3" borderId="1" xfId="0" applyFill="1" applyBorder="1"/>
    <xf numFmtId="0" fontId="7" fillId="5" borderId="1" xfId="0" applyFont="1" applyFill="1" applyBorder="1" applyAlignment="1">
      <alignment vertical="top" wrapText="1"/>
    </xf>
    <xf numFmtId="0" fontId="6" fillId="4" borderId="0" xfId="0" applyFont="1" applyFill="1"/>
    <xf numFmtId="0" fontId="0" fillId="4" borderId="0" xfId="0" applyFill="1"/>
    <xf numFmtId="0" fontId="4" fillId="2" borderId="1" xfId="0" applyFont="1" applyFill="1" applyBorder="1"/>
    <xf numFmtId="0" fontId="5" fillId="0" borderId="1" xfId="0" applyFont="1" applyBorder="1" applyAlignment="1">
      <alignment horizontal="center"/>
    </xf>
    <xf numFmtId="9" fontId="5" fillId="0" borderId="1" xfId="0" applyNumberFormat="1" applyFont="1" applyBorder="1" applyAlignment="1">
      <alignment horizontal="center"/>
    </xf>
    <xf numFmtId="0" fontId="8" fillId="0" borderId="0" xfId="0" applyFont="1" applyAlignment="1">
      <alignment vertical="center"/>
    </xf>
    <xf numFmtId="0" fontId="9" fillId="3" borderId="1" xfId="0" applyFont="1" applyFill="1" applyBorder="1" applyAlignment="1">
      <alignment vertical="top" wrapText="1"/>
    </xf>
    <xf numFmtId="0" fontId="4" fillId="3" borderId="2" xfId="0" applyFont="1" applyFill="1" applyBorder="1" applyAlignment="1">
      <alignment vertical="top" wrapText="1"/>
    </xf>
    <xf numFmtId="20" fontId="4" fillId="3" borderId="1" xfId="0" applyNumberFormat="1" applyFont="1" applyFill="1" applyBorder="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7DC"/>
      <rgbColor rgb="FFEDEDED"/>
      <rgbColor rgb="FF660066"/>
      <rgbColor rgb="FFFF8080"/>
      <rgbColor rgb="FF0066CC"/>
      <rgbColor rgb="FFC9CED8"/>
      <rgbColor rgb="FF000080"/>
      <rgbColor rgb="FFFF00FF"/>
      <rgbColor rgb="FFFFFF00"/>
      <rgbColor rgb="FF00FFFF"/>
      <rgbColor rgb="FF800080"/>
      <rgbColor rgb="FF800000"/>
      <rgbColor rgb="FF008080"/>
      <rgbColor rgb="FF0000FF"/>
      <rgbColor rgb="FF00CCFF"/>
      <rgbColor rgb="FFDCE3F2"/>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B24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9"/>
  <sheetViews>
    <sheetView showGridLines="0" topLeftCell="A9" zoomScaleNormal="100" workbookViewId="0"/>
  </sheetViews>
  <sheetFormatPr defaultColWidth="8.6640625" defaultRowHeight="14.4" x14ac:dyDescent="0.3"/>
  <cols>
    <col min="1" max="1" width="38" customWidth="1"/>
    <col min="2" max="2" width="110" customWidth="1"/>
  </cols>
  <sheetData>
    <row r="1" spans="1:2" ht="17.399999999999999" x14ac:dyDescent="0.3">
      <c r="A1" s="1" t="s">
        <v>0</v>
      </c>
    </row>
    <row r="2" spans="1:2" x14ac:dyDescent="0.3">
      <c r="A2" s="2" t="s">
        <v>1</v>
      </c>
    </row>
    <row r="4" spans="1:2" x14ac:dyDescent="0.3">
      <c r="A4" s="3" t="s">
        <v>2</v>
      </c>
      <c r="B4" s="4"/>
    </row>
    <row r="5" spans="1:2" x14ac:dyDescent="0.3">
      <c r="A5" s="5" t="s">
        <v>3</v>
      </c>
      <c r="B5" s="4" t="s">
        <v>4</v>
      </c>
    </row>
    <row r="6" spans="1:2" x14ac:dyDescent="0.3">
      <c r="A6" s="5" t="s">
        <v>5</v>
      </c>
      <c r="B6" s="4" t="s">
        <v>6</v>
      </c>
    </row>
    <row r="7" spans="1:2" x14ac:dyDescent="0.3">
      <c r="A7" s="5" t="s">
        <v>7</v>
      </c>
      <c r="B7" s="4" t="s">
        <v>8</v>
      </c>
    </row>
    <row r="8" spans="1:2" x14ac:dyDescent="0.3">
      <c r="A8" s="5" t="s">
        <v>9</v>
      </c>
      <c r="B8" s="4" t="s">
        <v>10</v>
      </c>
    </row>
    <row r="9" spans="1:2" x14ac:dyDescent="0.3">
      <c r="A9" s="5" t="s">
        <v>11</v>
      </c>
      <c r="B9" s="4" t="s">
        <v>12</v>
      </c>
    </row>
    <row r="10" spans="1:2" x14ac:dyDescent="0.3">
      <c r="A10" s="5" t="s">
        <v>13</v>
      </c>
      <c r="B10" s="4" t="s">
        <v>14</v>
      </c>
    </row>
    <row r="11" spans="1:2" x14ac:dyDescent="0.3">
      <c r="A11" s="5" t="s">
        <v>15</v>
      </c>
      <c r="B11" s="4" t="s">
        <v>16</v>
      </c>
    </row>
    <row r="12" spans="1:2" x14ac:dyDescent="0.3">
      <c r="A12" s="5" t="s">
        <v>17</v>
      </c>
      <c r="B12" s="4" t="s">
        <v>18</v>
      </c>
    </row>
    <row r="13" spans="1:2" x14ac:dyDescent="0.3">
      <c r="A13" s="6"/>
      <c r="B13" s="4"/>
    </row>
    <row r="14" spans="1:2" x14ac:dyDescent="0.3">
      <c r="A14" s="3" t="s">
        <v>19</v>
      </c>
      <c r="B14" s="4"/>
    </row>
    <row r="15" spans="1:2" x14ac:dyDescent="0.3">
      <c r="A15" s="5" t="s">
        <v>20</v>
      </c>
      <c r="B15" s="4" t="s">
        <v>21</v>
      </c>
    </row>
    <row r="16" spans="1:2" x14ac:dyDescent="0.3">
      <c r="A16" s="5" t="s">
        <v>22</v>
      </c>
      <c r="B16" s="4" t="s">
        <v>23</v>
      </c>
    </row>
    <row r="17" spans="1:2" x14ac:dyDescent="0.3">
      <c r="A17" s="5" t="s">
        <v>24</v>
      </c>
      <c r="B17" s="4" t="s">
        <v>25</v>
      </c>
    </row>
    <row r="18" spans="1:2" x14ac:dyDescent="0.3">
      <c r="A18" s="5" t="s">
        <v>26</v>
      </c>
      <c r="B18" s="4" t="s">
        <v>27</v>
      </c>
    </row>
    <row r="19" spans="1:2" x14ac:dyDescent="0.3">
      <c r="A19" s="5" t="s">
        <v>28</v>
      </c>
      <c r="B19" s="4" t="s">
        <v>29</v>
      </c>
    </row>
    <row r="20" spans="1:2" x14ac:dyDescent="0.3">
      <c r="A20" s="5" t="s">
        <v>30</v>
      </c>
      <c r="B20" s="4" t="s">
        <v>31</v>
      </c>
    </row>
    <row r="21" spans="1:2" x14ac:dyDescent="0.3">
      <c r="A21" s="5" t="s">
        <v>32</v>
      </c>
      <c r="B21" s="4" t="s">
        <v>33</v>
      </c>
    </row>
    <row r="22" spans="1:2" x14ac:dyDescent="0.3">
      <c r="A22" s="5" t="s">
        <v>34</v>
      </c>
      <c r="B22" s="4" t="s">
        <v>35</v>
      </c>
    </row>
    <row r="23" spans="1:2" x14ac:dyDescent="0.3">
      <c r="A23" s="5" t="s">
        <v>36</v>
      </c>
      <c r="B23" s="4" t="s">
        <v>37</v>
      </c>
    </row>
    <row r="24" spans="1:2" x14ac:dyDescent="0.3">
      <c r="A24" s="6"/>
      <c r="B24" s="4"/>
    </row>
    <row r="25" spans="1:2" x14ac:dyDescent="0.3">
      <c r="A25" s="3" t="s">
        <v>38</v>
      </c>
      <c r="B25" s="4"/>
    </row>
    <row r="26" spans="1:2" x14ac:dyDescent="0.3">
      <c r="A26" s="5" t="s">
        <v>39</v>
      </c>
      <c r="B26" s="4" t="s">
        <v>40</v>
      </c>
    </row>
    <row r="27" spans="1:2" x14ac:dyDescent="0.3">
      <c r="A27" s="5" t="s">
        <v>41</v>
      </c>
      <c r="B27" s="4" t="s">
        <v>42</v>
      </c>
    </row>
    <row r="28" spans="1:2" x14ac:dyDescent="0.3">
      <c r="A28" s="5" t="s">
        <v>43</v>
      </c>
      <c r="B28" s="4" t="s">
        <v>44</v>
      </c>
    </row>
    <row r="29" spans="1:2" x14ac:dyDescent="0.3">
      <c r="A29" s="5" t="s">
        <v>45</v>
      </c>
      <c r="B29" s="4" t="s">
        <v>46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1"/>
  <sheetViews>
    <sheetView showGridLines="0" topLeftCell="A4" zoomScaleNormal="100" workbookViewId="0"/>
  </sheetViews>
  <sheetFormatPr defaultColWidth="8.6640625" defaultRowHeight="14.4" x14ac:dyDescent="0.3"/>
  <cols>
    <col min="1" max="1" width="34" customWidth="1"/>
    <col min="2" max="2" width="90" customWidth="1"/>
  </cols>
  <sheetData>
    <row r="1" spans="1:3" ht="17.399999999999999" x14ac:dyDescent="0.3">
      <c r="A1" s="1" t="s">
        <v>47</v>
      </c>
    </row>
    <row r="2" spans="1:3" x14ac:dyDescent="0.3">
      <c r="A2" s="2" t="s">
        <v>48</v>
      </c>
    </row>
    <row r="4" spans="1:3" x14ac:dyDescent="0.3">
      <c r="A4" s="7" t="s">
        <v>49</v>
      </c>
      <c r="B4" s="8"/>
    </row>
    <row r="5" spans="1:3" x14ac:dyDescent="0.3">
      <c r="A5" s="7" t="s">
        <v>50</v>
      </c>
      <c r="B5" s="8"/>
    </row>
    <row r="6" spans="1:3" x14ac:dyDescent="0.3">
      <c r="A6" s="7" t="s">
        <v>51</v>
      </c>
      <c r="B6" s="8"/>
      <c r="C6" s="9" t="s">
        <v>52</v>
      </c>
    </row>
    <row r="7" spans="1:3" x14ac:dyDescent="0.3">
      <c r="A7" s="7" t="s">
        <v>53</v>
      </c>
      <c r="B7" s="8"/>
      <c r="C7" s="9" t="s">
        <v>54</v>
      </c>
    </row>
    <row r="8" spans="1:3" x14ac:dyDescent="0.3">
      <c r="A8" s="7" t="s">
        <v>55</v>
      </c>
      <c r="B8" s="8"/>
      <c r="C8" s="9" t="s">
        <v>56</v>
      </c>
    </row>
    <row r="9" spans="1:3" x14ac:dyDescent="0.3">
      <c r="A9" s="7" t="s">
        <v>57</v>
      </c>
      <c r="B9" s="8"/>
      <c r="C9" s="9" t="s">
        <v>58</v>
      </c>
    </row>
    <row r="10" spans="1:3" x14ac:dyDescent="0.3">
      <c r="A10" s="7" t="s">
        <v>59</v>
      </c>
      <c r="B10" s="8"/>
      <c r="C10" s="9" t="s">
        <v>60</v>
      </c>
    </row>
    <row r="11" spans="1:3" x14ac:dyDescent="0.3">
      <c r="A11" s="7" t="s">
        <v>61</v>
      </c>
      <c r="B11" s="8"/>
      <c r="C11" s="9" t="s">
        <v>60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6"/>
  <sheetViews>
    <sheetView showGridLines="0" zoomScaleNormal="100" workbookViewId="0">
      <pane xSplit="1" ySplit="4" topLeftCell="B5" activePane="bottomRight" state="frozen"/>
      <selection pane="topRight" activeCell="B1" sqref="B1"/>
      <selection pane="bottomLeft" activeCell="A5" sqref="A5"/>
      <selection pane="bottomRight" activeCell="B15" sqref="B15"/>
    </sheetView>
  </sheetViews>
  <sheetFormatPr defaultColWidth="8.6640625" defaultRowHeight="14.4" x14ac:dyDescent="0.3"/>
  <cols>
    <col min="1" max="1" width="12" customWidth="1"/>
    <col min="2" max="2" width="60" customWidth="1"/>
    <col min="3" max="3" width="14" customWidth="1"/>
    <col min="4" max="4" width="60" customWidth="1"/>
  </cols>
  <sheetData>
    <row r="1" spans="1:4" ht="17.399999999999999" x14ac:dyDescent="0.3">
      <c r="A1" s="1" t="s">
        <v>62</v>
      </c>
    </row>
    <row r="2" spans="1:4" x14ac:dyDescent="0.3">
      <c r="A2" s="2" t="s">
        <v>63</v>
      </c>
    </row>
    <row r="4" spans="1:4" ht="31.5" customHeight="1" x14ac:dyDescent="0.3">
      <c r="A4" s="10" t="s">
        <v>64</v>
      </c>
      <c r="B4" s="10" t="s">
        <v>65</v>
      </c>
      <c r="C4" s="10" t="s">
        <v>66</v>
      </c>
      <c r="D4" s="10" t="s">
        <v>67</v>
      </c>
    </row>
    <row r="5" spans="1:4" x14ac:dyDescent="0.3">
      <c r="A5" s="7" t="s">
        <v>68</v>
      </c>
      <c r="B5" s="11" t="s">
        <v>69</v>
      </c>
      <c r="C5" s="8" t="s">
        <v>493</v>
      </c>
      <c r="D5" s="8"/>
    </row>
    <row r="6" spans="1:4" x14ac:dyDescent="0.3">
      <c r="A6" s="7" t="s">
        <v>70</v>
      </c>
      <c r="B6" s="11" t="s">
        <v>71</v>
      </c>
      <c r="C6" s="8" t="s">
        <v>493</v>
      </c>
      <c r="D6" s="8"/>
    </row>
    <row r="7" spans="1:4" x14ac:dyDescent="0.3">
      <c r="A7" s="7" t="s">
        <v>72</v>
      </c>
      <c r="B7" s="11" t="s">
        <v>73</v>
      </c>
      <c r="C7" s="8" t="s">
        <v>493</v>
      </c>
      <c r="D7" s="8"/>
    </row>
    <row r="8" spans="1:4" x14ac:dyDescent="0.3">
      <c r="A8" s="7" t="s">
        <v>74</v>
      </c>
      <c r="B8" s="11" t="s">
        <v>75</v>
      </c>
      <c r="C8" s="8" t="s">
        <v>493</v>
      </c>
      <c r="D8" s="8"/>
    </row>
    <row r="9" spans="1:4" x14ac:dyDescent="0.3">
      <c r="A9" s="7" t="s">
        <v>76</v>
      </c>
      <c r="B9" s="11" t="s">
        <v>77</v>
      </c>
      <c r="C9" s="8" t="s">
        <v>493</v>
      </c>
      <c r="D9" s="8"/>
    </row>
    <row r="10" spans="1:4" x14ac:dyDescent="0.3">
      <c r="A10" s="7" t="s">
        <v>78</v>
      </c>
      <c r="B10" s="11" t="s">
        <v>79</v>
      </c>
      <c r="C10" s="8" t="s">
        <v>493</v>
      </c>
      <c r="D10" s="8"/>
    </row>
    <row r="11" spans="1:4" x14ac:dyDescent="0.3">
      <c r="A11" s="7" t="s">
        <v>80</v>
      </c>
      <c r="B11" s="11" t="s">
        <v>81</v>
      </c>
      <c r="C11" s="8" t="s">
        <v>493</v>
      </c>
      <c r="D11" s="8"/>
    </row>
    <row r="12" spans="1:4" x14ac:dyDescent="0.3">
      <c r="A12" s="7" t="s">
        <v>82</v>
      </c>
      <c r="B12" s="11" t="s">
        <v>83</v>
      </c>
      <c r="C12" s="8" t="s">
        <v>493</v>
      </c>
      <c r="D12" s="8"/>
    </row>
    <row r="15" spans="1:4" x14ac:dyDescent="0.3">
      <c r="A15" s="12" t="s">
        <v>84</v>
      </c>
      <c r="B15" s="13" t="s">
        <v>435</v>
      </c>
    </row>
    <row r="16" spans="1:4" ht="45" customHeight="1" x14ac:dyDescent="0.3">
      <c r="A16" s="12" t="s">
        <v>85</v>
      </c>
      <c r="B16" s="13"/>
    </row>
  </sheetData>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ErrorMessage="1" errorTitle="Valor inválido" error="Escolha um valor da lista." xr:uid="{00000000-0002-0000-0200-000000000000}">
          <x14:formula1>
            <xm:f>Listas!$J$2:$J$3</xm:f>
          </x14:formula1>
          <x14:formula2>
            <xm:f>0</xm:f>
          </x14:formula2>
          <xm:sqref>C5:C12</xm:sqref>
        </x14:dataValidation>
        <x14:dataValidation type="list" allowBlank="1" showErrorMessage="1" errorTitle="Valor inválido" error="Escolha um valor da lista." xr:uid="{00000000-0002-0000-0200-000001000000}">
          <x14:formula1>
            <xm:f>Listas!$K$2:$K$3</xm:f>
          </x14:formula1>
          <x14:formula2>
            <xm:f>0</xm:f>
          </x14:formula2>
          <xm:sqref>B15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
  <sheetViews>
    <sheetView showGridLines="0" zoomScaleNormal="100" workbookViewId="0">
      <pane xSplit="1" ySplit="5" topLeftCell="B10" activePane="bottomRight" state="frozen"/>
      <selection pane="topRight" activeCell="B1" sqref="B1"/>
      <selection pane="bottomLeft" activeCell="A6" sqref="A6"/>
      <selection pane="bottomRight" activeCell="C12" sqref="C12"/>
    </sheetView>
  </sheetViews>
  <sheetFormatPr defaultColWidth="8.6640625" defaultRowHeight="14.4" x14ac:dyDescent="0.3"/>
  <cols>
    <col min="1" max="1" width="10" customWidth="1"/>
    <col min="2" max="2" width="9" customWidth="1"/>
    <col min="3" max="3" width="45" customWidth="1"/>
    <col min="4" max="4" width="18" customWidth="1"/>
    <col min="5" max="6" width="50" customWidth="1"/>
  </cols>
  <sheetData>
    <row r="1" spans="1:6" ht="17.399999999999999" x14ac:dyDescent="0.3">
      <c r="A1" s="1" t="s">
        <v>86</v>
      </c>
    </row>
    <row r="2" spans="1:6" x14ac:dyDescent="0.3">
      <c r="A2" s="2" t="s">
        <v>87</v>
      </c>
    </row>
    <row r="4" spans="1:6" ht="31.5" customHeight="1" x14ac:dyDescent="0.3">
      <c r="A4" s="10" t="s">
        <v>64</v>
      </c>
      <c r="B4" s="10" t="s">
        <v>88</v>
      </c>
      <c r="C4" s="10" t="s">
        <v>89</v>
      </c>
      <c r="D4" s="10" t="s">
        <v>90</v>
      </c>
      <c r="E4" s="10" t="s">
        <v>91</v>
      </c>
      <c r="F4" s="10" t="s">
        <v>92</v>
      </c>
    </row>
    <row r="5" spans="1:6" ht="26.4" x14ac:dyDescent="0.3">
      <c r="A5" s="14" t="s">
        <v>93</v>
      </c>
      <c r="B5" s="14" t="s">
        <v>94</v>
      </c>
      <c r="C5" s="14" t="s">
        <v>95</v>
      </c>
      <c r="D5" s="14" t="s">
        <v>96</v>
      </c>
      <c r="E5" s="14" t="s">
        <v>97</v>
      </c>
      <c r="F5" s="14" t="s">
        <v>98</v>
      </c>
    </row>
    <row r="6" spans="1:6" ht="66" x14ac:dyDescent="0.3">
      <c r="A6" s="7" t="s">
        <v>99</v>
      </c>
      <c r="B6" s="8" t="s">
        <v>452</v>
      </c>
      <c r="C6" s="8" t="s">
        <v>496</v>
      </c>
      <c r="D6" s="8" t="s">
        <v>96</v>
      </c>
      <c r="E6" s="8" t="s">
        <v>495</v>
      </c>
      <c r="F6" s="8" t="s">
        <v>523</v>
      </c>
    </row>
    <row r="7" spans="1:6" ht="66" x14ac:dyDescent="0.3">
      <c r="A7" s="7" t="s">
        <v>100</v>
      </c>
      <c r="B7" s="8" t="s">
        <v>480</v>
      </c>
      <c r="C7" s="8" t="s">
        <v>512</v>
      </c>
      <c r="D7" s="8" t="s">
        <v>439</v>
      </c>
      <c r="E7" s="8" t="s">
        <v>497</v>
      </c>
      <c r="F7" s="8" t="s">
        <v>522</v>
      </c>
    </row>
    <row r="8" spans="1:6" ht="92.4" x14ac:dyDescent="0.3">
      <c r="A8" s="7" t="s">
        <v>101</v>
      </c>
      <c r="B8" s="8" t="s">
        <v>467</v>
      </c>
      <c r="C8" s="8" t="s">
        <v>498</v>
      </c>
      <c r="D8" s="8" t="s">
        <v>96</v>
      </c>
      <c r="E8" s="8" t="s">
        <v>499</v>
      </c>
      <c r="F8" s="8" t="s">
        <v>521</v>
      </c>
    </row>
    <row r="9" spans="1:6" ht="92.4" x14ac:dyDescent="0.3">
      <c r="A9" s="7" t="s">
        <v>102</v>
      </c>
      <c r="B9" s="8" t="s">
        <v>482</v>
      </c>
      <c r="C9" s="21" t="s">
        <v>500</v>
      </c>
      <c r="D9" s="8" t="s">
        <v>466</v>
      </c>
      <c r="E9" s="21" t="s">
        <v>501</v>
      </c>
      <c r="F9" s="8" t="s">
        <v>520</v>
      </c>
    </row>
    <row r="10" spans="1:6" ht="92.4" x14ac:dyDescent="0.3">
      <c r="A10" s="7" t="s">
        <v>103</v>
      </c>
      <c r="B10" s="8" t="s">
        <v>487</v>
      </c>
      <c r="C10" s="21" t="s">
        <v>503</v>
      </c>
      <c r="D10" s="8" t="s">
        <v>96</v>
      </c>
      <c r="E10" s="21" t="s">
        <v>502</v>
      </c>
      <c r="F10" s="8" t="s">
        <v>519</v>
      </c>
    </row>
    <row r="11" spans="1:6" ht="66" x14ac:dyDescent="0.3">
      <c r="A11" s="7" t="s">
        <v>104</v>
      </c>
      <c r="B11" s="8" t="s">
        <v>94</v>
      </c>
      <c r="C11" s="21" t="s">
        <v>525</v>
      </c>
      <c r="D11" s="8" t="s">
        <v>466</v>
      </c>
      <c r="E11" s="21" t="s">
        <v>504</v>
      </c>
      <c r="F11" s="8" t="s">
        <v>518</v>
      </c>
    </row>
    <row r="12" spans="1:6" ht="79.2" x14ac:dyDescent="0.3">
      <c r="A12" s="7" t="s">
        <v>105</v>
      </c>
      <c r="B12" s="8" t="s">
        <v>488</v>
      </c>
      <c r="C12" s="20" t="s">
        <v>505</v>
      </c>
      <c r="D12" s="8" t="s">
        <v>96</v>
      </c>
      <c r="E12" s="21" t="s">
        <v>506</v>
      </c>
      <c r="F12" s="8" t="s">
        <v>517</v>
      </c>
    </row>
    <row r="13" spans="1:6" ht="92.4" x14ac:dyDescent="0.3">
      <c r="A13" s="7" t="s">
        <v>106</v>
      </c>
      <c r="B13" s="8" t="s">
        <v>487</v>
      </c>
      <c r="C13" s="8" t="s">
        <v>507</v>
      </c>
      <c r="D13" s="8" t="s">
        <v>96</v>
      </c>
      <c r="E13" s="8" t="s">
        <v>508</v>
      </c>
      <c r="F13" s="8" t="s">
        <v>516</v>
      </c>
    </row>
    <row r="14" spans="1:6" ht="79.2" x14ac:dyDescent="0.3">
      <c r="A14" s="7" t="s">
        <v>107</v>
      </c>
      <c r="B14" s="8" t="s">
        <v>431</v>
      </c>
      <c r="C14" s="8" t="s">
        <v>509</v>
      </c>
      <c r="D14" s="8" t="s">
        <v>96</v>
      </c>
      <c r="E14" s="8" t="s">
        <v>510</v>
      </c>
      <c r="F14" s="8" t="s">
        <v>515</v>
      </c>
    </row>
    <row r="15" spans="1:6" ht="105.6" x14ac:dyDescent="0.3">
      <c r="A15" s="7" t="s">
        <v>108</v>
      </c>
      <c r="B15" s="8" t="s">
        <v>474</v>
      </c>
      <c r="C15" s="8" t="s">
        <v>511</v>
      </c>
      <c r="D15" s="8" t="s">
        <v>439</v>
      </c>
      <c r="E15" s="8" t="s">
        <v>513</v>
      </c>
      <c r="F15" s="8" t="s">
        <v>514</v>
      </c>
    </row>
  </sheetData>
  <pageMargins left="0.75" right="0.75" top="1" bottom="1" header="0.511811023622047" footer="0.511811023622047"/>
  <pageSetup paperSize="9" orientation="portrait" horizontalDpi="300" verticalDpi="300" r:id="rId1"/>
  <extLst>
    <ext xmlns:x14="http://schemas.microsoft.com/office/spreadsheetml/2009/9/main" uri="{CCE6A557-97BC-4b89-ADB6-D9C93CAAB3DF}">
      <x14:dataValidations xmlns:xm="http://schemas.microsoft.com/office/excel/2006/main" count="2">
        <x14:dataValidation type="list" allowBlank="1" showErrorMessage="1" errorTitle="Valor inválido" error="Escolha um valor da lista." xr:uid="{00000000-0002-0000-0300-000000000000}">
          <x14:formula1>
            <xm:f>Listas!$A$2:$A$22</xm:f>
          </x14:formula1>
          <x14:formula2>
            <xm:f>0</xm:f>
          </x14:formula2>
          <xm:sqref>B6:B15</xm:sqref>
        </x14:dataValidation>
        <x14:dataValidation type="list" allowBlank="1" showErrorMessage="1" errorTitle="Valor inválido" error="Escolha um valor da lista." xr:uid="{00000000-0002-0000-0300-000001000000}">
          <x14:formula1>
            <xm:f>Listas!$O$2:$O$5</xm:f>
          </x14:formula1>
          <x14:formula2>
            <xm:f>0</xm:f>
          </x14:formula2>
          <xm:sqref>D6:D15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0"/>
  <sheetViews>
    <sheetView showGridLines="0" topLeftCell="A13" zoomScaleNormal="100" workbookViewId="0">
      <selection activeCell="B19" sqref="B19"/>
    </sheetView>
  </sheetViews>
  <sheetFormatPr defaultColWidth="8.6640625" defaultRowHeight="14.4" x14ac:dyDescent="0.3"/>
  <cols>
    <col min="1" max="1" width="34" customWidth="1"/>
    <col min="2" max="2" width="90" customWidth="1"/>
    <col min="3" max="3" width="60" customWidth="1"/>
  </cols>
  <sheetData>
    <row r="1" spans="1:3" ht="17.399999999999999" x14ac:dyDescent="0.3">
      <c r="A1" s="1" t="s">
        <v>494</v>
      </c>
    </row>
    <row r="2" spans="1:3" x14ac:dyDescent="0.3">
      <c r="A2" s="2" t="s">
        <v>109</v>
      </c>
    </row>
    <row r="4" spans="1:3" ht="42" customHeight="1" x14ac:dyDescent="0.3">
      <c r="A4" s="7" t="s">
        <v>110</v>
      </c>
      <c r="B4" s="8" t="s">
        <v>524</v>
      </c>
    </row>
    <row r="5" spans="1:3" ht="42" customHeight="1" x14ac:dyDescent="0.3">
      <c r="A5" s="7" t="s">
        <v>111</v>
      </c>
      <c r="B5" s="8" t="s">
        <v>526</v>
      </c>
      <c r="C5" s="9" t="s">
        <v>112</v>
      </c>
    </row>
    <row r="6" spans="1:3" ht="42" customHeight="1" x14ac:dyDescent="0.3">
      <c r="A6" s="7" t="s">
        <v>113</v>
      </c>
      <c r="B6" s="8" t="s">
        <v>527</v>
      </c>
    </row>
    <row r="7" spans="1:3" ht="42" customHeight="1" x14ac:dyDescent="0.3">
      <c r="A7" s="7" t="s">
        <v>114</v>
      </c>
      <c r="B7" s="8" t="s">
        <v>451</v>
      </c>
      <c r="C7" s="9" t="s">
        <v>115</v>
      </c>
    </row>
    <row r="8" spans="1:3" ht="42" customHeight="1" x14ac:dyDescent="0.3">
      <c r="A8" s="7" t="s">
        <v>116</v>
      </c>
      <c r="B8" s="8" t="s">
        <v>528</v>
      </c>
    </row>
    <row r="9" spans="1:3" ht="42" customHeight="1" x14ac:dyDescent="0.3">
      <c r="A9" s="7" t="s">
        <v>117</v>
      </c>
      <c r="B9" s="8" t="s">
        <v>529</v>
      </c>
      <c r="C9" s="9" t="s">
        <v>118</v>
      </c>
    </row>
    <row r="10" spans="1:3" ht="42" customHeight="1" x14ac:dyDescent="0.3">
      <c r="A10" s="7" t="s">
        <v>119</v>
      </c>
      <c r="B10" s="8" t="s">
        <v>530</v>
      </c>
      <c r="C10" s="9" t="s">
        <v>120</v>
      </c>
    </row>
    <row r="11" spans="1:3" ht="42" customHeight="1" x14ac:dyDescent="0.3">
      <c r="A11" s="7" t="s">
        <v>121</v>
      </c>
      <c r="B11" s="8" t="s">
        <v>531</v>
      </c>
      <c r="C11" s="9" t="s">
        <v>122</v>
      </c>
    </row>
    <row r="12" spans="1:3" ht="42" customHeight="1" x14ac:dyDescent="0.3">
      <c r="A12" s="7" t="s">
        <v>123</v>
      </c>
      <c r="B12" s="23">
        <v>0.77083333333333337</v>
      </c>
      <c r="C12" s="9" t="s">
        <v>124</v>
      </c>
    </row>
    <row r="13" spans="1:3" ht="42" customHeight="1" x14ac:dyDescent="0.3">
      <c r="A13" s="7" t="s">
        <v>125</v>
      </c>
      <c r="B13" s="8" t="s">
        <v>532</v>
      </c>
      <c r="C13" s="9" t="s">
        <v>126</v>
      </c>
    </row>
    <row r="14" spans="1:3" ht="42" customHeight="1" x14ac:dyDescent="0.3">
      <c r="A14" s="7" t="s">
        <v>127</v>
      </c>
      <c r="B14" s="8" t="s">
        <v>533</v>
      </c>
      <c r="C14" s="9" t="s">
        <v>128</v>
      </c>
    </row>
    <row r="17" spans="1:3" x14ac:dyDescent="0.3">
      <c r="A17" s="3" t="s">
        <v>129</v>
      </c>
    </row>
    <row r="18" spans="1:3" x14ac:dyDescent="0.3">
      <c r="A18" s="10" t="s">
        <v>130</v>
      </c>
      <c r="B18" s="10" t="s">
        <v>131</v>
      </c>
      <c r="C18" s="10" t="s">
        <v>132</v>
      </c>
    </row>
    <row r="19" spans="1:3" x14ac:dyDescent="0.3">
      <c r="A19" s="12" t="s">
        <v>133</v>
      </c>
      <c r="B19" s="8" t="s">
        <v>433</v>
      </c>
      <c r="C19" s="8"/>
    </row>
    <row r="20" spans="1:3" x14ac:dyDescent="0.3">
      <c r="A20" s="12" t="s">
        <v>134</v>
      </c>
      <c r="B20" s="8" t="s">
        <v>433</v>
      </c>
      <c r="C20" s="8"/>
    </row>
    <row r="21" spans="1:3" x14ac:dyDescent="0.3">
      <c r="A21" s="12" t="s">
        <v>135</v>
      </c>
      <c r="B21" s="8" t="s">
        <v>433</v>
      </c>
      <c r="C21" s="8"/>
    </row>
    <row r="22" spans="1:3" x14ac:dyDescent="0.3">
      <c r="A22" s="12" t="s">
        <v>136</v>
      </c>
      <c r="B22" s="8" t="s">
        <v>433</v>
      </c>
      <c r="C22" s="8"/>
    </row>
    <row r="23" spans="1:3" x14ac:dyDescent="0.3">
      <c r="A23" s="12" t="s">
        <v>137</v>
      </c>
      <c r="B23" s="8" t="s">
        <v>433</v>
      </c>
      <c r="C23" s="8"/>
    </row>
    <row r="24" spans="1:3" x14ac:dyDescent="0.3">
      <c r="A24" s="12" t="s">
        <v>138</v>
      </c>
      <c r="B24" s="8" t="s">
        <v>433</v>
      </c>
      <c r="C24" s="8"/>
    </row>
    <row r="25" spans="1:3" x14ac:dyDescent="0.3">
      <c r="A25" s="12" t="s">
        <v>139</v>
      </c>
      <c r="B25" s="8" t="s">
        <v>433</v>
      </c>
      <c r="C25" s="8"/>
    </row>
    <row r="26" spans="1:3" x14ac:dyDescent="0.3">
      <c r="A26" s="12" t="s">
        <v>140</v>
      </c>
      <c r="B26" s="8" t="s">
        <v>433</v>
      </c>
      <c r="C26" s="8"/>
    </row>
    <row r="27" spans="1:3" x14ac:dyDescent="0.3">
      <c r="A27" s="12" t="s">
        <v>141</v>
      </c>
      <c r="B27" s="8" t="s">
        <v>433</v>
      </c>
      <c r="C27" s="8"/>
    </row>
    <row r="28" spans="1:3" x14ac:dyDescent="0.3">
      <c r="A28" s="12" t="s">
        <v>142</v>
      </c>
      <c r="B28" s="8" t="s">
        <v>433</v>
      </c>
      <c r="C28" s="8"/>
    </row>
    <row r="29" spans="1:3" x14ac:dyDescent="0.3">
      <c r="A29" s="12" t="s">
        <v>143</v>
      </c>
      <c r="B29" s="8" t="s">
        <v>433</v>
      </c>
      <c r="C29" s="8"/>
    </row>
    <row r="30" spans="1:3" x14ac:dyDescent="0.3">
      <c r="A30" s="12" t="s">
        <v>144</v>
      </c>
      <c r="B30" s="8" t="s">
        <v>433</v>
      </c>
      <c r="C30" s="8"/>
    </row>
  </sheetData>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ErrorMessage="1" errorTitle="Valor inválido" error="Escolha um valor da lista." xr:uid="{00000000-0002-0000-0400-000000000000}">
          <x14:formula1>
            <xm:f>Listas!$P$2:$P$4</xm:f>
          </x14:formula1>
          <x14:formula2>
            <xm:f>0</xm:f>
          </x14:formula2>
          <xm:sqref>B7</xm:sqref>
        </x14:dataValidation>
        <x14:dataValidation type="list" allowBlank="1" showErrorMessage="1" errorTitle="Valor inválido" error="Escolha um valor da lista." xr:uid="{00000000-0002-0000-0400-000001000000}">
          <x14:formula1>
            <xm:f>Listas!$I$2:$I$3</xm:f>
          </x14:formula1>
          <x14:formula2>
            <xm:f>0</xm:f>
          </x14:formula2>
          <xm:sqref>B19:B30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5"/>
  <sheetViews>
    <sheetView showGridLines="0" zoomScaleNormal="100" workbookViewId="0">
      <pane xSplit="1" ySplit="5" topLeftCell="B6" activePane="bottomRight" state="frozen"/>
      <selection pane="topRight" activeCell="B1" sqref="B1"/>
      <selection pane="bottomLeft" activeCell="A6" sqref="A6"/>
      <selection pane="bottomRight" activeCell="H8" sqref="H8"/>
    </sheetView>
  </sheetViews>
  <sheetFormatPr defaultColWidth="8.6640625" defaultRowHeight="14.4" x14ac:dyDescent="0.3"/>
  <cols>
    <col min="1" max="1" width="9" customWidth="1"/>
    <col min="2" max="2" width="8" customWidth="1"/>
    <col min="3" max="3" width="9" customWidth="1"/>
    <col min="4" max="4" width="20" customWidth="1"/>
    <col min="5" max="5" width="15" customWidth="1"/>
    <col min="6" max="6" width="12" customWidth="1"/>
    <col min="7" max="7" width="34" customWidth="1"/>
    <col min="8" max="8" width="28" customWidth="1"/>
    <col min="9" max="9" width="40" customWidth="1"/>
    <col min="10" max="10" width="24" customWidth="1"/>
    <col min="11" max="12" width="32" customWidth="1"/>
    <col min="13" max="13" width="13" customWidth="1"/>
    <col min="14" max="14" width="12" customWidth="1"/>
    <col min="15" max="15" width="16" customWidth="1"/>
  </cols>
  <sheetData>
    <row r="1" spans="1:15" ht="17.399999999999999" x14ac:dyDescent="0.3">
      <c r="A1" s="1" t="s">
        <v>534</v>
      </c>
    </row>
    <row r="2" spans="1:15" x14ac:dyDescent="0.3">
      <c r="A2" s="2" t="s">
        <v>145</v>
      </c>
    </row>
    <row r="4" spans="1:15" ht="31.5" customHeight="1" x14ac:dyDescent="0.3">
      <c r="A4" s="10" t="s">
        <v>64</v>
      </c>
      <c r="B4" s="10" t="s">
        <v>88</v>
      </c>
      <c r="C4" s="10" t="s">
        <v>146</v>
      </c>
      <c r="D4" s="10" t="s">
        <v>147</v>
      </c>
      <c r="E4" s="10" t="s">
        <v>130</v>
      </c>
      <c r="F4" s="10" t="s">
        <v>148</v>
      </c>
      <c r="G4" s="10" t="s">
        <v>149</v>
      </c>
      <c r="H4" s="10" t="s">
        <v>150</v>
      </c>
      <c r="I4" s="10" t="s">
        <v>151</v>
      </c>
      <c r="J4" s="10" t="s">
        <v>152</v>
      </c>
      <c r="K4" s="10" t="s">
        <v>153</v>
      </c>
      <c r="L4" s="10" t="s">
        <v>154</v>
      </c>
      <c r="M4" s="10" t="s">
        <v>155</v>
      </c>
      <c r="N4" s="10" t="s">
        <v>156</v>
      </c>
      <c r="O4" s="10" t="s">
        <v>157</v>
      </c>
    </row>
    <row r="5" spans="1:15" ht="39.6" x14ac:dyDescent="0.3">
      <c r="A5" s="14" t="s">
        <v>158</v>
      </c>
      <c r="B5" s="14" t="s">
        <v>94</v>
      </c>
      <c r="C5" s="14" t="s">
        <v>159</v>
      </c>
      <c r="D5" s="14" t="s">
        <v>160</v>
      </c>
      <c r="E5" s="14" t="s">
        <v>133</v>
      </c>
      <c r="F5" s="14" t="s">
        <v>161</v>
      </c>
      <c r="G5" s="14" t="s">
        <v>162</v>
      </c>
      <c r="H5" s="14" t="s">
        <v>163</v>
      </c>
      <c r="I5" s="14" t="s">
        <v>164</v>
      </c>
      <c r="J5" s="14" t="s">
        <v>165</v>
      </c>
      <c r="K5" s="14" t="s">
        <v>166</v>
      </c>
      <c r="L5" s="14" t="s">
        <v>167</v>
      </c>
      <c r="M5" s="14" t="s">
        <v>168</v>
      </c>
      <c r="N5" s="14"/>
      <c r="O5" s="14"/>
    </row>
    <row r="6" spans="1:15" ht="26.4" x14ac:dyDescent="0.3">
      <c r="A6" s="7" t="s">
        <v>169</v>
      </c>
      <c r="B6" s="8" t="s">
        <v>480</v>
      </c>
      <c r="C6" s="8" t="s">
        <v>541</v>
      </c>
      <c r="D6" s="8" t="s">
        <v>453</v>
      </c>
      <c r="E6" s="8" t="s">
        <v>136</v>
      </c>
      <c r="F6" s="8" t="s">
        <v>144</v>
      </c>
      <c r="G6" s="8" t="s">
        <v>537</v>
      </c>
      <c r="H6" s="8" t="s">
        <v>539</v>
      </c>
      <c r="I6" s="8" t="s">
        <v>535</v>
      </c>
      <c r="J6" s="8" t="s">
        <v>552</v>
      </c>
      <c r="K6" s="8" t="s">
        <v>536</v>
      </c>
      <c r="L6" s="8" t="s">
        <v>538</v>
      </c>
      <c r="M6" s="8" t="s">
        <v>444</v>
      </c>
      <c r="N6" s="8"/>
      <c r="O6" s="8" t="s">
        <v>540</v>
      </c>
    </row>
    <row r="7" spans="1:15" ht="26.4" x14ac:dyDescent="0.3">
      <c r="A7" s="7" t="s">
        <v>170</v>
      </c>
      <c r="B7" s="8" t="s">
        <v>94</v>
      </c>
      <c r="C7" s="8" t="s">
        <v>542</v>
      </c>
      <c r="D7" s="8" t="s">
        <v>160</v>
      </c>
      <c r="E7" s="8" t="s">
        <v>133</v>
      </c>
      <c r="F7" s="8" t="s">
        <v>161</v>
      </c>
      <c r="G7" s="8" t="s">
        <v>525</v>
      </c>
      <c r="H7" s="8" t="s">
        <v>543</v>
      </c>
      <c r="I7" s="8" t="s">
        <v>544</v>
      </c>
      <c r="J7" s="8" t="s">
        <v>545</v>
      </c>
      <c r="K7" s="8" t="s">
        <v>536</v>
      </c>
      <c r="L7" s="8" t="s">
        <v>546</v>
      </c>
      <c r="M7" s="8" t="s">
        <v>444</v>
      </c>
      <c r="N7" s="8"/>
      <c r="O7" s="8" t="s">
        <v>547</v>
      </c>
    </row>
    <row r="8" spans="1:15" ht="39.6" x14ac:dyDescent="0.3">
      <c r="A8" s="7" t="s">
        <v>171</v>
      </c>
      <c r="B8" s="8" t="s">
        <v>467</v>
      </c>
      <c r="C8" s="8" t="s">
        <v>553</v>
      </c>
      <c r="D8" s="8" t="s">
        <v>442</v>
      </c>
      <c r="E8" s="8" t="s">
        <v>144</v>
      </c>
      <c r="F8" s="8" t="s">
        <v>443</v>
      </c>
      <c r="G8" s="8" t="s">
        <v>548</v>
      </c>
      <c r="H8" s="8" t="s">
        <v>549</v>
      </c>
      <c r="I8" s="8" t="s">
        <v>550</v>
      </c>
      <c r="J8" s="8" t="s">
        <v>551</v>
      </c>
      <c r="K8" s="8" t="s">
        <v>555</v>
      </c>
      <c r="L8" s="8" t="s">
        <v>556</v>
      </c>
      <c r="M8" s="8" t="s">
        <v>462</v>
      </c>
      <c r="N8" s="8"/>
      <c r="O8" s="8" t="s">
        <v>554</v>
      </c>
    </row>
    <row r="9" spans="1:15" ht="26.4" x14ac:dyDescent="0.3">
      <c r="A9" s="7" t="s">
        <v>172</v>
      </c>
      <c r="B9" s="8" t="s">
        <v>487</v>
      </c>
      <c r="C9" s="8" t="s">
        <v>557</v>
      </c>
      <c r="D9" s="8" t="s">
        <v>461</v>
      </c>
      <c r="E9" s="8" t="s">
        <v>133</v>
      </c>
      <c r="F9" s="8" t="s">
        <v>161</v>
      </c>
      <c r="G9" s="8" t="s">
        <v>507</v>
      </c>
      <c r="H9" s="8" t="s">
        <v>558</v>
      </c>
      <c r="I9" s="8" t="s">
        <v>559</v>
      </c>
      <c r="J9" s="8" t="s">
        <v>560</v>
      </c>
      <c r="K9" s="8" t="s">
        <v>561</v>
      </c>
      <c r="L9" s="8" t="s">
        <v>562</v>
      </c>
      <c r="M9" s="8" t="s">
        <v>444</v>
      </c>
      <c r="N9" s="8"/>
      <c r="O9" s="8" t="s">
        <v>563</v>
      </c>
    </row>
    <row r="10" spans="1:15" ht="39.6" x14ac:dyDescent="0.3">
      <c r="A10" s="7" t="s">
        <v>173</v>
      </c>
      <c r="B10" s="8" t="s">
        <v>482</v>
      </c>
      <c r="C10" s="8" t="s">
        <v>564</v>
      </c>
      <c r="D10" s="8" t="s">
        <v>453</v>
      </c>
      <c r="E10" s="8" t="s">
        <v>144</v>
      </c>
      <c r="F10" s="8" t="s">
        <v>443</v>
      </c>
      <c r="G10" s="8" t="s">
        <v>500</v>
      </c>
      <c r="H10" s="8" t="s">
        <v>565</v>
      </c>
      <c r="I10" s="8" t="s">
        <v>566</v>
      </c>
      <c r="J10" s="8" t="s">
        <v>567</v>
      </c>
      <c r="K10" s="8" t="s">
        <v>568</v>
      </c>
      <c r="L10" s="8" t="s">
        <v>569</v>
      </c>
      <c r="M10" s="8" t="s">
        <v>444</v>
      </c>
      <c r="N10" s="8"/>
      <c r="O10" s="8" t="s">
        <v>570</v>
      </c>
    </row>
    <row r="11" spans="1:15" ht="26.4" x14ac:dyDescent="0.3">
      <c r="A11" s="7" t="s">
        <v>174</v>
      </c>
      <c r="B11" s="8" t="s">
        <v>488</v>
      </c>
      <c r="C11" s="8" t="s">
        <v>595</v>
      </c>
      <c r="D11" s="8" t="s">
        <v>136</v>
      </c>
      <c r="E11" s="8" t="s">
        <v>136</v>
      </c>
      <c r="F11" s="8" t="s">
        <v>161</v>
      </c>
      <c r="G11" s="8" t="s">
        <v>505</v>
      </c>
      <c r="H11" s="8" t="s">
        <v>571</v>
      </c>
      <c r="I11" s="8" t="s">
        <v>572</v>
      </c>
      <c r="J11" s="8"/>
      <c r="K11" s="8" t="s">
        <v>573</v>
      </c>
      <c r="L11" s="8" t="s">
        <v>574</v>
      </c>
      <c r="M11" s="8" t="s">
        <v>444</v>
      </c>
      <c r="N11" s="8"/>
      <c r="O11" s="8" t="s">
        <v>575</v>
      </c>
    </row>
    <row r="12" spans="1:15" x14ac:dyDescent="0.3">
      <c r="A12" s="7" t="s">
        <v>175</v>
      </c>
      <c r="B12" s="8"/>
      <c r="C12" s="8"/>
      <c r="D12" s="8"/>
      <c r="E12" s="8"/>
      <c r="F12" s="8"/>
      <c r="G12" s="8"/>
      <c r="H12" s="8"/>
      <c r="I12" s="8"/>
      <c r="J12" s="8"/>
      <c r="K12" s="8"/>
      <c r="L12" s="8"/>
      <c r="M12" s="8"/>
      <c r="N12" s="8"/>
      <c r="O12" s="8"/>
    </row>
    <row r="13" spans="1:15" x14ac:dyDescent="0.3">
      <c r="A13" s="7" t="s">
        <v>176</v>
      </c>
      <c r="B13" s="8"/>
      <c r="C13" s="8"/>
      <c r="D13" s="8"/>
      <c r="E13" s="8"/>
      <c r="F13" s="8"/>
      <c r="G13" s="8"/>
      <c r="H13" s="8"/>
      <c r="I13" s="8"/>
      <c r="J13" s="8"/>
      <c r="K13" s="8"/>
      <c r="L13" s="8"/>
      <c r="M13" s="8"/>
      <c r="N13" s="8"/>
      <c r="O13" s="8"/>
    </row>
    <row r="14" spans="1:15" x14ac:dyDescent="0.3">
      <c r="A14" s="7" t="s">
        <v>177</v>
      </c>
      <c r="B14" s="8"/>
      <c r="C14" s="8"/>
      <c r="D14" s="8"/>
      <c r="E14" s="8"/>
      <c r="F14" s="8"/>
      <c r="G14" s="8"/>
      <c r="H14" s="8"/>
      <c r="I14" s="8"/>
      <c r="J14" s="8"/>
      <c r="K14" s="8"/>
      <c r="L14" s="8"/>
      <c r="M14" s="8"/>
      <c r="N14" s="8"/>
      <c r="O14" s="8"/>
    </row>
    <row r="15" spans="1:15" x14ac:dyDescent="0.3">
      <c r="A15" s="7" t="s">
        <v>178</v>
      </c>
      <c r="B15" s="8"/>
      <c r="C15" s="8"/>
      <c r="D15" s="8"/>
      <c r="E15" s="8"/>
      <c r="F15" s="8"/>
      <c r="G15" s="8"/>
      <c r="H15" s="8"/>
      <c r="I15" s="8"/>
      <c r="J15" s="8"/>
      <c r="K15" s="8"/>
      <c r="L15" s="8"/>
      <c r="M15" s="8"/>
      <c r="N15" s="8"/>
      <c r="O15" s="8"/>
    </row>
    <row r="16" spans="1:15" x14ac:dyDescent="0.3">
      <c r="A16" s="7" t="s">
        <v>179</v>
      </c>
      <c r="B16" s="8"/>
      <c r="C16" s="8"/>
      <c r="D16" s="8"/>
      <c r="E16" s="8"/>
      <c r="F16" s="8"/>
      <c r="G16" s="8"/>
      <c r="H16" s="8"/>
      <c r="I16" s="8"/>
      <c r="J16" s="8"/>
      <c r="K16" s="8"/>
      <c r="L16" s="8"/>
      <c r="M16" s="8"/>
      <c r="N16" s="8"/>
      <c r="O16" s="8"/>
    </row>
    <row r="17" spans="1:15" x14ac:dyDescent="0.3">
      <c r="A17" s="7" t="s">
        <v>180</v>
      </c>
      <c r="B17" s="8"/>
      <c r="C17" s="8"/>
      <c r="D17" s="8"/>
      <c r="E17" s="8"/>
      <c r="F17" s="8"/>
      <c r="G17" s="8"/>
      <c r="H17" s="8"/>
      <c r="I17" s="8"/>
      <c r="J17" s="8"/>
      <c r="K17" s="8"/>
      <c r="L17" s="8"/>
      <c r="M17" s="8"/>
      <c r="N17" s="8"/>
      <c r="O17" s="8"/>
    </row>
    <row r="18" spans="1:15" x14ac:dyDescent="0.3">
      <c r="A18" s="7" t="s">
        <v>181</v>
      </c>
      <c r="B18" s="8"/>
      <c r="C18" s="8"/>
      <c r="D18" s="8"/>
      <c r="E18" s="8"/>
      <c r="F18" s="8"/>
      <c r="G18" s="8"/>
      <c r="H18" s="8"/>
      <c r="I18" s="8"/>
      <c r="J18" s="8"/>
      <c r="K18" s="8"/>
      <c r="L18" s="8"/>
      <c r="M18" s="8"/>
      <c r="N18" s="8"/>
      <c r="O18" s="8"/>
    </row>
    <row r="19" spans="1:15" x14ac:dyDescent="0.3">
      <c r="A19" s="7" t="s">
        <v>182</v>
      </c>
      <c r="B19" s="8"/>
      <c r="C19" s="8"/>
      <c r="D19" s="8"/>
      <c r="E19" s="8"/>
      <c r="F19" s="8"/>
      <c r="G19" s="8"/>
      <c r="H19" s="8"/>
      <c r="I19" s="8"/>
      <c r="J19" s="8"/>
      <c r="K19" s="8"/>
      <c r="L19" s="8"/>
      <c r="M19" s="8"/>
      <c r="N19" s="8"/>
      <c r="O19" s="8"/>
    </row>
    <row r="20" spans="1:15" x14ac:dyDescent="0.3">
      <c r="A20" s="7" t="s">
        <v>183</v>
      </c>
      <c r="B20" s="8"/>
      <c r="C20" s="8"/>
      <c r="D20" s="8"/>
      <c r="E20" s="8"/>
      <c r="F20" s="8"/>
      <c r="G20" s="8"/>
      <c r="H20" s="8"/>
      <c r="I20" s="8"/>
      <c r="J20" s="8"/>
      <c r="K20" s="8"/>
      <c r="L20" s="8"/>
      <c r="M20" s="8"/>
      <c r="N20" s="8"/>
      <c r="O20" s="8"/>
    </row>
    <row r="21" spans="1:15" x14ac:dyDescent="0.3">
      <c r="A21" s="7" t="s">
        <v>184</v>
      </c>
      <c r="B21" s="8"/>
      <c r="C21" s="8"/>
      <c r="D21" s="8"/>
      <c r="E21" s="8"/>
      <c r="F21" s="8"/>
      <c r="G21" s="8"/>
      <c r="H21" s="8"/>
      <c r="I21" s="8"/>
      <c r="J21" s="8"/>
      <c r="K21" s="8"/>
      <c r="L21" s="8"/>
      <c r="M21" s="8"/>
      <c r="N21" s="8"/>
      <c r="O21" s="8"/>
    </row>
    <row r="22" spans="1:15" x14ac:dyDescent="0.3">
      <c r="A22" s="7" t="s">
        <v>185</v>
      </c>
      <c r="B22" s="8"/>
      <c r="C22" s="8"/>
      <c r="D22" s="8"/>
      <c r="E22" s="8"/>
      <c r="F22" s="8"/>
      <c r="G22" s="8"/>
      <c r="H22" s="8"/>
      <c r="I22" s="8"/>
      <c r="J22" s="8"/>
      <c r="K22" s="8"/>
      <c r="L22" s="8"/>
      <c r="M22" s="8"/>
      <c r="N22" s="8"/>
      <c r="O22" s="8"/>
    </row>
    <row r="23" spans="1:15" x14ac:dyDescent="0.3">
      <c r="A23" s="7" t="s">
        <v>186</v>
      </c>
      <c r="B23" s="8"/>
      <c r="C23" s="8"/>
      <c r="D23" s="8"/>
      <c r="E23" s="8"/>
      <c r="F23" s="8"/>
      <c r="G23" s="8"/>
      <c r="H23" s="8"/>
      <c r="I23" s="8"/>
      <c r="J23" s="8"/>
      <c r="K23" s="8"/>
      <c r="L23" s="8"/>
      <c r="M23" s="8"/>
      <c r="N23" s="8"/>
      <c r="O23" s="8"/>
    </row>
    <row r="24" spans="1:15" x14ac:dyDescent="0.3">
      <c r="A24" s="7" t="s">
        <v>187</v>
      </c>
      <c r="B24" s="8"/>
      <c r="C24" s="8"/>
      <c r="D24" s="8"/>
      <c r="E24" s="8"/>
      <c r="F24" s="8"/>
      <c r="G24" s="8"/>
      <c r="H24" s="8"/>
      <c r="I24" s="8"/>
      <c r="J24" s="8"/>
      <c r="K24" s="8"/>
      <c r="L24" s="8"/>
      <c r="M24" s="8"/>
      <c r="N24" s="8"/>
      <c r="O24" s="8"/>
    </row>
    <row r="25" spans="1:15" x14ac:dyDescent="0.3">
      <c r="A25" s="7" t="s">
        <v>188</v>
      </c>
      <c r="B25" s="8"/>
      <c r="C25" s="8"/>
      <c r="D25" s="8"/>
      <c r="E25" s="8"/>
      <c r="F25" s="8"/>
      <c r="G25" s="8"/>
      <c r="H25" s="8"/>
      <c r="I25" s="8"/>
      <c r="J25" s="8"/>
      <c r="K25" s="8"/>
      <c r="L25" s="8"/>
      <c r="M25" s="8"/>
      <c r="N25" s="8"/>
      <c r="O25" s="8"/>
    </row>
    <row r="26" spans="1:15" x14ac:dyDescent="0.3">
      <c r="A26" s="7" t="s">
        <v>189</v>
      </c>
      <c r="B26" s="8"/>
      <c r="C26" s="8"/>
      <c r="D26" s="8"/>
      <c r="E26" s="8"/>
      <c r="F26" s="8"/>
      <c r="G26" s="8"/>
      <c r="H26" s="8"/>
      <c r="I26" s="8"/>
      <c r="J26" s="8"/>
      <c r="K26" s="8"/>
      <c r="L26" s="8"/>
      <c r="M26" s="8"/>
      <c r="N26" s="8"/>
      <c r="O26" s="8"/>
    </row>
    <row r="27" spans="1:15" x14ac:dyDescent="0.3">
      <c r="A27" s="7" t="s">
        <v>190</v>
      </c>
      <c r="B27" s="8"/>
      <c r="C27" s="8"/>
      <c r="D27" s="8"/>
      <c r="E27" s="8"/>
      <c r="F27" s="8"/>
      <c r="G27" s="8"/>
      <c r="H27" s="8"/>
      <c r="I27" s="8"/>
      <c r="J27" s="8"/>
      <c r="K27" s="8"/>
      <c r="L27" s="8"/>
      <c r="M27" s="8"/>
      <c r="N27" s="8"/>
      <c r="O27" s="8"/>
    </row>
    <row r="28" spans="1:15" x14ac:dyDescent="0.3">
      <c r="A28" s="7" t="s">
        <v>191</v>
      </c>
      <c r="B28" s="8"/>
      <c r="C28" s="8"/>
      <c r="D28" s="8"/>
      <c r="E28" s="8"/>
      <c r="F28" s="8"/>
      <c r="G28" s="8"/>
      <c r="H28" s="8"/>
      <c r="I28" s="8"/>
      <c r="J28" s="8"/>
      <c r="K28" s="8"/>
      <c r="L28" s="8"/>
      <c r="M28" s="8"/>
      <c r="N28" s="8"/>
      <c r="O28" s="8"/>
    </row>
    <row r="29" spans="1:15" x14ac:dyDescent="0.3">
      <c r="A29" s="7" t="s">
        <v>192</v>
      </c>
      <c r="B29" s="8"/>
      <c r="C29" s="8"/>
      <c r="D29" s="8"/>
      <c r="E29" s="8"/>
      <c r="F29" s="8"/>
      <c r="G29" s="8"/>
      <c r="H29" s="8"/>
      <c r="I29" s="8"/>
      <c r="J29" s="8"/>
      <c r="K29" s="8"/>
      <c r="L29" s="8"/>
      <c r="M29" s="8"/>
      <c r="N29" s="8"/>
      <c r="O29" s="8"/>
    </row>
    <row r="30" spans="1:15" x14ac:dyDescent="0.3">
      <c r="A30" s="7" t="s">
        <v>193</v>
      </c>
      <c r="B30" s="8"/>
      <c r="C30" s="8"/>
      <c r="D30" s="8"/>
      <c r="E30" s="8"/>
      <c r="F30" s="8"/>
      <c r="G30" s="8"/>
      <c r="H30" s="8"/>
      <c r="I30" s="8"/>
      <c r="J30" s="8"/>
      <c r="K30" s="8"/>
      <c r="L30" s="8"/>
      <c r="M30" s="8"/>
      <c r="N30" s="8"/>
      <c r="O30" s="8"/>
    </row>
    <row r="31" spans="1:15" x14ac:dyDescent="0.3">
      <c r="A31" s="7" t="s">
        <v>194</v>
      </c>
      <c r="B31" s="8"/>
      <c r="C31" s="8"/>
      <c r="D31" s="8"/>
      <c r="E31" s="8"/>
      <c r="F31" s="8"/>
      <c r="G31" s="8"/>
      <c r="H31" s="8"/>
      <c r="I31" s="8"/>
      <c r="J31" s="8"/>
      <c r="K31" s="8"/>
      <c r="L31" s="8"/>
      <c r="M31" s="8"/>
      <c r="N31" s="8"/>
      <c r="O31" s="8"/>
    </row>
    <row r="32" spans="1:15" x14ac:dyDescent="0.3">
      <c r="A32" s="7" t="s">
        <v>195</v>
      </c>
      <c r="B32" s="8"/>
      <c r="C32" s="8"/>
      <c r="D32" s="8"/>
      <c r="E32" s="8"/>
      <c r="F32" s="8"/>
      <c r="G32" s="8"/>
      <c r="H32" s="8"/>
      <c r="I32" s="8"/>
      <c r="J32" s="8"/>
      <c r="K32" s="8"/>
      <c r="L32" s="8"/>
      <c r="M32" s="8"/>
      <c r="N32" s="8"/>
      <c r="O32" s="8"/>
    </row>
    <row r="33" spans="1:15" x14ac:dyDescent="0.3">
      <c r="A33" s="7" t="s">
        <v>196</v>
      </c>
      <c r="B33" s="8"/>
      <c r="C33" s="8"/>
      <c r="D33" s="8"/>
      <c r="E33" s="8"/>
      <c r="F33" s="8"/>
      <c r="G33" s="8"/>
      <c r="H33" s="8"/>
      <c r="I33" s="8"/>
      <c r="J33" s="8"/>
      <c r="K33" s="8"/>
      <c r="L33" s="8"/>
      <c r="M33" s="8"/>
      <c r="N33" s="8"/>
      <c r="O33" s="8"/>
    </row>
    <row r="34" spans="1:15" x14ac:dyDescent="0.3">
      <c r="A34" s="7" t="s">
        <v>197</v>
      </c>
      <c r="B34" s="8"/>
      <c r="C34" s="8"/>
      <c r="D34" s="8"/>
      <c r="E34" s="8"/>
      <c r="F34" s="8"/>
      <c r="G34" s="8"/>
      <c r="H34" s="8"/>
      <c r="I34" s="8"/>
      <c r="J34" s="8"/>
      <c r="K34" s="8"/>
      <c r="L34" s="8"/>
      <c r="M34" s="8"/>
      <c r="N34" s="8"/>
      <c r="O34" s="8"/>
    </row>
    <row r="35" spans="1:15" x14ac:dyDescent="0.3">
      <c r="A35" s="7" t="s">
        <v>198</v>
      </c>
      <c r="B35" s="8"/>
      <c r="C35" s="8"/>
      <c r="D35" s="8"/>
      <c r="E35" s="8"/>
      <c r="F35" s="8"/>
      <c r="G35" s="8"/>
      <c r="H35" s="8"/>
      <c r="I35" s="8"/>
      <c r="J35" s="8"/>
      <c r="K35" s="8"/>
      <c r="L35" s="8"/>
      <c r="M35" s="8"/>
      <c r="N35" s="8"/>
      <c r="O35" s="8"/>
    </row>
    <row r="36" spans="1:15" x14ac:dyDescent="0.3">
      <c r="A36" s="7" t="s">
        <v>199</v>
      </c>
      <c r="B36" s="8"/>
      <c r="C36" s="8"/>
      <c r="D36" s="8"/>
      <c r="E36" s="8"/>
      <c r="F36" s="8"/>
      <c r="G36" s="8"/>
      <c r="H36" s="8"/>
      <c r="I36" s="8"/>
      <c r="J36" s="8"/>
      <c r="K36" s="8"/>
      <c r="L36" s="8"/>
      <c r="M36" s="8"/>
      <c r="N36" s="8"/>
      <c r="O36" s="8"/>
    </row>
    <row r="37" spans="1:15" x14ac:dyDescent="0.3">
      <c r="A37" s="7" t="s">
        <v>200</v>
      </c>
      <c r="B37" s="8"/>
      <c r="C37" s="8"/>
      <c r="D37" s="8"/>
      <c r="E37" s="8"/>
      <c r="F37" s="8"/>
      <c r="G37" s="8"/>
      <c r="H37" s="8"/>
      <c r="I37" s="8"/>
      <c r="J37" s="8"/>
      <c r="K37" s="8"/>
      <c r="L37" s="8"/>
      <c r="M37" s="8"/>
      <c r="N37" s="8"/>
      <c r="O37" s="8"/>
    </row>
    <row r="38" spans="1:15" x14ac:dyDescent="0.3">
      <c r="A38" s="7" t="s">
        <v>201</v>
      </c>
      <c r="B38" s="8"/>
      <c r="C38" s="8"/>
      <c r="D38" s="8"/>
      <c r="E38" s="8"/>
      <c r="F38" s="8"/>
      <c r="G38" s="8"/>
      <c r="H38" s="8"/>
      <c r="I38" s="8"/>
      <c r="J38" s="8"/>
      <c r="K38" s="8"/>
      <c r="L38" s="8"/>
      <c r="M38" s="8"/>
      <c r="N38" s="8"/>
      <c r="O38" s="8"/>
    </row>
    <row r="39" spans="1:15" x14ac:dyDescent="0.3">
      <c r="A39" s="7" t="s">
        <v>202</v>
      </c>
      <c r="B39" s="8"/>
      <c r="C39" s="8"/>
      <c r="D39" s="8"/>
      <c r="E39" s="8"/>
      <c r="F39" s="8"/>
      <c r="G39" s="8"/>
      <c r="H39" s="8"/>
      <c r="I39" s="8"/>
      <c r="J39" s="8"/>
      <c r="K39" s="8"/>
      <c r="L39" s="8"/>
      <c r="M39" s="8"/>
      <c r="N39" s="8"/>
      <c r="O39" s="8"/>
    </row>
    <row r="40" spans="1:15" x14ac:dyDescent="0.3">
      <c r="A40" s="7" t="s">
        <v>203</v>
      </c>
      <c r="B40" s="8"/>
      <c r="C40" s="8"/>
      <c r="D40" s="8"/>
      <c r="E40" s="8"/>
      <c r="F40" s="8"/>
      <c r="G40" s="8"/>
      <c r="H40" s="8"/>
      <c r="I40" s="8"/>
      <c r="J40" s="8"/>
      <c r="K40" s="8"/>
      <c r="L40" s="8"/>
      <c r="M40" s="8"/>
      <c r="N40" s="8"/>
      <c r="O40" s="8"/>
    </row>
    <row r="41" spans="1:15" x14ac:dyDescent="0.3">
      <c r="A41" s="7" t="s">
        <v>204</v>
      </c>
      <c r="B41" s="8"/>
      <c r="C41" s="8"/>
      <c r="D41" s="8"/>
      <c r="E41" s="8"/>
      <c r="F41" s="8"/>
      <c r="G41" s="8"/>
      <c r="H41" s="8"/>
      <c r="I41" s="8"/>
      <c r="J41" s="8"/>
      <c r="K41" s="8"/>
      <c r="L41" s="8"/>
      <c r="M41" s="8"/>
      <c r="N41" s="8"/>
      <c r="O41" s="8"/>
    </row>
    <row r="42" spans="1:15" x14ac:dyDescent="0.3">
      <c r="A42" s="7" t="s">
        <v>205</v>
      </c>
      <c r="B42" s="8"/>
      <c r="C42" s="8"/>
      <c r="D42" s="8"/>
      <c r="E42" s="8"/>
      <c r="F42" s="8"/>
      <c r="G42" s="8"/>
      <c r="H42" s="8"/>
      <c r="I42" s="8"/>
      <c r="J42" s="8"/>
      <c r="K42" s="8"/>
      <c r="L42" s="8"/>
      <c r="M42" s="8"/>
      <c r="N42" s="8"/>
      <c r="O42" s="8"/>
    </row>
    <row r="43" spans="1:15" x14ac:dyDescent="0.3">
      <c r="A43" s="7" t="s">
        <v>206</v>
      </c>
      <c r="B43" s="8"/>
      <c r="C43" s="8"/>
      <c r="D43" s="8"/>
      <c r="E43" s="8"/>
      <c r="F43" s="8"/>
      <c r="G43" s="8"/>
      <c r="H43" s="8"/>
      <c r="I43" s="8"/>
      <c r="J43" s="8"/>
      <c r="K43" s="8"/>
      <c r="L43" s="8"/>
      <c r="M43" s="8"/>
      <c r="N43" s="8"/>
      <c r="O43" s="8"/>
    </row>
    <row r="44" spans="1:15" x14ac:dyDescent="0.3">
      <c r="A44" s="7" t="s">
        <v>207</v>
      </c>
      <c r="B44" s="8"/>
      <c r="C44" s="8"/>
      <c r="D44" s="8"/>
      <c r="E44" s="8"/>
      <c r="F44" s="8"/>
      <c r="G44" s="8"/>
      <c r="H44" s="8"/>
      <c r="I44" s="8"/>
      <c r="J44" s="8"/>
      <c r="K44" s="8"/>
      <c r="L44" s="8"/>
      <c r="M44" s="8"/>
      <c r="N44" s="8"/>
      <c r="O44" s="8"/>
    </row>
    <row r="45" spans="1:15" x14ac:dyDescent="0.3">
      <c r="A45" s="7" t="s">
        <v>208</v>
      </c>
      <c r="B45" s="8"/>
      <c r="C45" s="8"/>
      <c r="D45" s="8"/>
      <c r="E45" s="8"/>
      <c r="F45" s="8"/>
      <c r="G45" s="8"/>
      <c r="H45" s="8"/>
      <c r="I45" s="8"/>
      <c r="J45" s="8"/>
      <c r="K45" s="8"/>
      <c r="L45" s="8"/>
      <c r="M45" s="8"/>
      <c r="N45" s="8"/>
      <c r="O45" s="8"/>
    </row>
  </sheetData>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5">
        <x14:dataValidation type="list" allowBlank="1" showErrorMessage="1" errorTitle="Valor inválido" error="Escolha um valor da lista." xr:uid="{00000000-0002-0000-0500-000000000000}">
          <x14:formula1>
            <xm:f>Listas!$A$2:$A$22</xm:f>
          </x14:formula1>
          <x14:formula2>
            <xm:f>0</xm:f>
          </x14:formula2>
          <xm:sqref>B6:B45</xm:sqref>
        </x14:dataValidation>
        <x14:dataValidation type="list" allowBlank="1" showErrorMessage="1" errorTitle="Valor inválido" error="Escolha um valor da lista." xr:uid="{00000000-0002-0000-0500-000001000000}">
          <x14:formula1>
            <xm:f>Listas!$B$2:$B$9</xm:f>
          </x14:formula1>
          <x14:formula2>
            <xm:f>0</xm:f>
          </x14:formula2>
          <xm:sqref>D6:D45</xm:sqref>
        </x14:dataValidation>
        <x14:dataValidation type="list" allowBlank="1" showErrorMessage="1" errorTitle="Valor inválido" error="Escolha um valor da lista." xr:uid="{00000000-0002-0000-0500-000002000000}">
          <x14:formula1>
            <xm:f>Listas!$C$2:$C$15</xm:f>
          </x14:formula1>
          <x14:formula2>
            <xm:f>0</xm:f>
          </x14:formula2>
          <xm:sqref>E6:E45</xm:sqref>
        </x14:dataValidation>
        <x14:dataValidation type="list" allowBlank="1" showErrorMessage="1" errorTitle="Valor inválido" error="Escolha um valor da lista." xr:uid="{00000000-0002-0000-0500-000003000000}">
          <x14:formula1>
            <xm:f>Listas!$D$2:$D$5</xm:f>
          </x14:formula1>
          <x14:formula2>
            <xm:f>0</xm:f>
          </x14:formula2>
          <xm:sqref>F6:F45</xm:sqref>
        </x14:dataValidation>
        <x14:dataValidation type="list" allowBlank="1" showErrorMessage="1" errorTitle="Valor inválido" error="Escolha um valor da lista." xr:uid="{00000000-0002-0000-0500-000004000000}">
          <x14:formula1>
            <xm:f>Listas!$E$2:$E$5</xm:f>
          </x14:formula1>
          <x14:formula2>
            <xm:f>0</xm:f>
          </x14:formula2>
          <xm:sqref>M6:M45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35"/>
  <sheetViews>
    <sheetView showGridLines="0" tabSelected="1" zoomScaleNormal="100" workbookViewId="0">
      <pane xSplit="1" ySplit="5" topLeftCell="B6" activePane="bottomRight" state="frozen"/>
      <selection pane="topRight" activeCell="B1" sqref="B1"/>
      <selection pane="bottomLeft" activeCell="A6" sqref="A6"/>
      <selection pane="bottomRight" activeCell="M6" sqref="M6"/>
    </sheetView>
  </sheetViews>
  <sheetFormatPr defaultColWidth="8.6640625" defaultRowHeight="14.4" x14ac:dyDescent="0.3"/>
  <cols>
    <col min="1" max="1" width="9" customWidth="1"/>
    <col min="2" max="2" width="34" customWidth="1"/>
    <col min="3" max="3" width="10" customWidth="1"/>
    <col min="4" max="4" width="9" customWidth="1"/>
    <col min="5" max="5" width="11" customWidth="1"/>
    <col min="6" max="6" width="15" customWidth="1"/>
    <col min="7" max="8" width="11" customWidth="1"/>
    <col min="9" max="9" width="44" customWidth="1"/>
    <col min="10" max="10" width="24" customWidth="1"/>
    <col min="11" max="12" width="32" customWidth="1"/>
    <col min="13" max="13" width="16" customWidth="1"/>
    <col min="14" max="14" width="18" customWidth="1"/>
    <col min="15" max="15" width="9" customWidth="1"/>
  </cols>
  <sheetData>
    <row r="1" spans="1:15" ht="17.399999999999999" x14ac:dyDescent="0.3">
      <c r="A1" s="1" t="s">
        <v>209</v>
      </c>
    </row>
    <row r="2" spans="1:15" x14ac:dyDescent="0.3">
      <c r="A2" s="2" t="s">
        <v>210</v>
      </c>
    </row>
    <row r="4" spans="1:15" ht="31.5" customHeight="1" x14ac:dyDescent="0.3">
      <c r="A4" s="10" t="s">
        <v>64</v>
      </c>
      <c r="B4" s="10" t="s">
        <v>149</v>
      </c>
      <c r="C4" s="10" t="s">
        <v>211</v>
      </c>
      <c r="D4" s="10" t="s">
        <v>146</v>
      </c>
      <c r="E4" s="10" t="s">
        <v>212</v>
      </c>
      <c r="F4" s="10" t="s">
        <v>130</v>
      </c>
      <c r="G4" s="10" t="s">
        <v>38</v>
      </c>
      <c r="H4" s="10" t="s">
        <v>213</v>
      </c>
      <c r="I4" s="10" t="s">
        <v>214</v>
      </c>
      <c r="J4" s="10" t="s">
        <v>215</v>
      </c>
      <c r="K4" s="10" t="s">
        <v>153</v>
      </c>
      <c r="L4" s="10" t="s">
        <v>154</v>
      </c>
      <c r="M4" s="10" t="s">
        <v>157</v>
      </c>
      <c r="N4" s="10" t="s">
        <v>216</v>
      </c>
      <c r="O4" s="10" t="s">
        <v>217</v>
      </c>
    </row>
    <row r="5" spans="1:15" ht="39.6" x14ac:dyDescent="0.3">
      <c r="A5" s="14" t="s">
        <v>218</v>
      </c>
      <c r="B5" s="14" t="s">
        <v>219</v>
      </c>
      <c r="C5" s="14" t="s">
        <v>220</v>
      </c>
      <c r="D5" s="14" t="s">
        <v>221</v>
      </c>
      <c r="E5" s="14" t="s">
        <v>158</v>
      </c>
      <c r="F5" s="14" t="s">
        <v>133</v>
      </c>
      <c r="G5" s="14" t="s">
        <v>45</v>
      </c>
      <c r="H5" s="14" t="s">
        <v>43</v>
      </c>
      <c r="I5" s="14" t="s">
        <v>222</v>
      </c>
      <c r="J5" s="14" t="s">
        <v>223</v>
      </c>
      <c r="K5" s="14" t="s">
        <v>224</v>
      </c>
      <c r="L5" s="14" t="s">
        <v>225</v>
      </c>
      <c r="M5" s="14" t="s">
        <v>226</v>
      </c>
      <c r="N5" s="14" t="s">
        <v>227</v>
      </c>
      <c r="O5" s="14" t="s">
        <v>228</v>
      </c>
    </row>
    <row r="6" spans="1:15" ht="26.4" x14ac:dyDescent="0.3">
      <c r="A6" s="7" t="s">
        <v>229</v>
      </c>
      <c r="B6" s="8" t="s">
        <v>576</v>
      </c>
      <c r="C6" s="8" t="s">
        <v>480</v>
      </c>
      <c r="D6" s="8" t="s">
        <v>541</v>
      </c>
      <c r="E6" s="8" t="s">
        <v>577</v>
      </c>
      <c r="F6" s="8" t="s">
        <v>144</v>
      </c>
      <c r="G6" s="8" t="s">
        <v>43</v>
      </c>
      <c r="H6" s="8" t="s">
        <v>43</v>
      </c>
      <c r="I6" s="8" t="s">
        <v>583</v>
      </c>
      <c r="J6" s="8" t="s">
        <v>592</v>
      </c>
      <c r="K6" s="8" t="s">
        <v>584</v>
      </c>
      <c r="L6" s="8" t="s">
        <v>585</v>
      </c>
      <c r="M6" s="8"/>
      <c r="N6" s="8" t="s">
        <v>227</v>
      </c>
      <c r="O6" s="8" t="s">
        <v>438</v>
      </c>
    </row>
    <row r="7" spans="1:15" ht="26.4" x14ac:dyDescent="0.3">
      <c r="A7" s="7" t="s">
        <v>230</v>
      </c>
      <c r="B7" s="8" t="s">
        <v>525</v>
      </c>
      <c r="C7" s="8" t="s">
        <v>452</v>
      </c>
      <c r="D7" s="8" t="s">
        <v>542</v>
      </c>
      <c r="E7" s="8" t="s">
        <v>578</v>
      </c>
      <c r="F7" s="8" t="s">
        <v>133</v>
      </c>
      <c r="G7" s="8" t="s">
        <v>45</v>
      </c>
      <c r="H7" s="8" t="s">
        <v>45</v>
      </c>
      <c r="I7" s="8" t="s">
        <v>586</v>
      </c>
      <c r="J7" s="8" t="s">
        <v>591</v>
      </c>
      <c r="K7" s="8" t="s">
        <v>587</v>
      </c>
      <c r="L7" s="8" t="s">
        <v>588</v>
      </c>
      <c r="M7" s="8"/>
      <c r="N7" s="8" t="s">
        <v>227</v>
      </c>
      <c r="O7" s="8" t="s">
        <v>450</v>
      </c>
    </row>
    <row r="8" spans="1:15" ht="26.4" x14ac:dyDescent="0.3">
      <c r="A8" s="7" t="s">
        <v>231</v>
      </c>
      <c r="B8" s="8" t="s">
        <v>589</v>
      </c>
      <c r="C8" s="8" t="s">
        <v>482</v>
      </c>
      <c r="D8" s="8" t="s">
        <v>564</v>
      </c>
      <c r="E8" s="8" t="s">
        <v>579</v>
      </c>
      <c r="F8" s="8" t="s">
        <v>144</v>
      </c>
      <c r="G8" s="8" t="s">
        <v>41</v>
      </c>
      <c r="H8" s="8" t="s">
        <v>41</v>
      </c>
      <c r="I8" s="8" t="s">
        <v>566</v>
      </c>
      <c r="J8" s="8" t="s">
        <v>590</v>
      </c>
      <c r="K8" s="8" t="s">
        <v>593</v>
      </c>
      <c r="L8" s="8" t="s">
        <v>594</v>
      </c>
      <c r="M8" s="8"/>
      <c r="N8" s="8" t="s">
        <v>227</v>
      </c>
      <c r="O8" s="8" t="s">
        <v>228</v>
      </c>
    </row>
    <row r="9" spans="1:15" ht="26.4" x14ac:dyDescent="0.3">
      <c r="A9" s="7" t="s">
        <v>232</v>
      </c>
      <c r="B9" s="8" t="s">
        <v>505</v>
      </c>
      <c r="C9" s="8" t="s">
        <v>488</v>
      </c>
      <c r="D9" s="8" t="s">
        <v>596</v>
      </c>
      <c r="E9" s="8" t="s">
        <v>580</v>
      </c>
      <c r="F9" s="8" t="s">
        <v>133</v>
      </c>
      <c r="G9" s="8" t="s">
        <v>39</v>
      </c>
      <c r="H9" s="8" t="s">
        <v>41</v>
      </c>
      <c r="I9" s="8" t="s">
        <v>572</v>
      </c>
      <c r="J9" s="8" t="s">
        <v>597</v>
      </c>
      <c r="K9" s="8" t="s">
        <v>598</v>
      </c>
      <c r="L9" s="8" t="s">
        <v>600</v>
      </c>
      <c r="M9" s="8"/>
      <c r="N9" s="8" t="s">
        <v>227</v>
      </c>
      <c r="O9" s="8" t="s">
        <v>465</v>
      </c>
    </row>
    <row r="10" spans="1:15" ht="26.4" x14ac:dyDescent="0.3">
      <c r="A10" s="7" t="s">
        <v>233</v>
      </c>
      <c r="B10" s="8" t="s">
        <v>507</v>
      </c>
      <c r="C10" s="8" t="s">
        <v>482</v>
      </c>
      <c r="D10" s="8" t="s">
        <v>557</v>
      </c>
      <c r="E10" s="8" t="s">
        <v>581</v>
      </c>
      <c r="F10" s="8" t="s">
        <v>144</v>
      </c>
      <c r="G10" s="8" t="s">
        <v>41</v>
      </c>
      <c r="H10" s="8" t="s">
        <v>41</v>
      </c>
      <c r="I10" s="8" t="s">
        <v>566</v>
      </c>
      <c r="J10" s="8" t="s">
        <v>599</v>
      </c>
      <c r="K10" s="8" t="s">
        <v>601</v>
      </c>
      <c r="L10" s="8" t="s">
        <v>602</v>
      </c>
      <c r="M10" s="8"/>
      <c r="N10" s="8" t="s">
        <v>227</v>
      </c>
      <c r="O10" s="8" t="s">
        <v>469</v>
      </c>
    </row>
    <row r="11" spans="1:15" ht="26.4" x14ac:dyDescent="0.3">
      <c r="A11" s="7" t="s">
        <v>234</v>
      </c>
      <c r="B11" s="8" t="s">
        <v>548</v>
      </c>
      <c r="C11" s="8" t="s">
        <v>467</v>
      </c>
      <c r="D11" s="8" t="s">
        <v>553</v>
      </c>
      <c r="E11" s="8" t="s">
        <v>582</v>
      </c>
      <c r="F11" s="8" t="s">
        <v>136</v>
      </c>
      <c r="G11" s="8" t="s">
        <v>45</v>
      </c>
      <c r="H11" s="8" t="s">
        <v>45</v>
      </c>
      <c r="I11" s="8" t="s">
        <v>549</v>
      </c>
      <c r="J11" s="8" t="s">
        <v>603</v>
      </c>
      <c r="K11" s="8" t="s">
        <v>604</v>
      </c>
      <c r="L11" s="8" t="s">
        <v>605</v>
      </c>
      <c r="M11" s="8"/>
      <c r="N11" s="8" t="s">
        <v>463</v>
      </c>
      <c r="O11" s="8" t="s">
        <v>473</v>
      </c>
    </row>
    <row r="12" spans="1:15" x14ac:dyDescent="0.3">
      <c r="A12" s="7" t="s">
        <v>235</v>
      </c>
      <c r="B12" s="8"/>
      <c r="C12" s="8"/>
      <c r="D12" s="8"/>
      <c r="E12" s="8"/>
      <c r="F12" s="8"/>
      <c r="G12" s="8"/>
      <c r="H12" s="8"/>
      <c r="I12" s="8"/>
      <c r="J12" s="8"/>
      <c r="K12" s="8"/>
      <c r="L12" s="8"/>
      <c r="M12" s="8"/>
      <c r="N12" s="8"/>
      <c r="O12" s="8"/>
    </row>
    <row r="13" spans="1:15" x14ac:dyDescent="0.3">
      <c r="A13" s="7" t="s">
        <v>236</v>
      </c>
      <c r="B13" s="8"/>
      <c r="C13" s="8"/>
      <c r="D13" s="8"/>
      <c r="E13" s="8"/>
      <c r="F13" s="8"/>
      <c r="G13" s="8"/>
      <c r="H13" s="8"/>
      <c r="I13" s="8"/>
      <c r="J13" s="8"/>
      <c r="K13" s="8"/>
      <c r="L13" s="8"/>
      <c r="M13" s="8"/>
      <c r="N13" s="8"/>
      <c r="O13" s="8"/>
    </row>
    <row r="14" spans="1:15" x14ac:dyDescent="0.3">
      <c r="A14" s="7" t="s">
        <v>237</v>
      </c>
      <c r="B14" s="8"/>
      <c r="C14" s="8"/>
      <c r="D14" s="8"/>
      <c r="E14" s="8"/>
      <c r="F14" s="8"/>
      <c r="G14" s="8"/>
      <c r="H14" s="8"/>
      <c r="I14" s="8"/>
      <c r="J14" s="8"/>
      <c r="K14" s="8"/>
      <c r="L14" s="8"/>
      <c r="M14" s="8"/>
      <c r="N14" s="8"/>
      <c r="O14" s="8"/>
    </row>
    <row r="15" spans="1:15" x14ac:dyDescent="0.3">
      <c r="A15" s="7" t="s">
        <v>238</v>
      </c>
      <c r="B15" s="8"/>
      <c r="C15" s="8"/>
      <c r="D15" s="8"/>
      <c r="E15" s="8"/>
      <c r="F15" s="8"/>
      <c r="G15" s="8"/>
      <c r="H15" s="8"/>
      <c r="I15" s="8"/>
      <c r="J15" s="8"/>
      <c r="K15" s="8"/>
      <c r="L15" s="8"/>
      <c r="M15" s="8"/>
      <c r="N15" s="8"/>
      <c r="O15" s="8"/>
    </row>
    <row r="16" spans="1:15" x14ac:dyDescent="0.3">
      <c r="A16" s="7" t="s">
        <v>239</v>
      </c>
      <c r="B16" s="8"/>
      <c r="C16" s="8"/>
      <c r="D16" s="8"/>
      <c r="E16" s="8"/>
      <c r="F16" s="8"/>
      <c r="G16" s="8"/>
      <c r="H16" s="8"/>
      <c r="I16" s="8"/>
      <c r="J16" s="8"/>
      <c r="K16" s="8"/>
      <c r="L16" s="8"/>
      <c r="M16" s="8"/>
      <c r="N16" s="8"/>
      <c r="O16" s="8"/>
    </row>
    <row r="17" spans="1:15" x14ac:dyDescent="0.3">
      <c r="A17" s="7" t="s">
        <v>240</v>
      </c>
      <c r="B17" s="8"/>
      <c r="C17" s="8"/>
      <c r="D17" s="8"/>
      <c r="E17" s="8"/>
      <c r="F17" s="8"/>
      <c r="G17" s="8"/>
      <c r="H17" s="8"/>
      <c r="I17" s="8"/>
      <c r="J17" s="8"/>
      <c r="K17" s="8"/>
      <c r="L17" s="8"/>
      <c r="M17" s="8"/>
      <c r="N17" s="8"/>
      <c r="O17" s="8"/>
    </row>
    <row r="18" spans="1:15" x14ac:dyDescent="0.3">
      <c r="A18" s="7" t="s">
        <v>241</v>
      </c>
      <c r="B18" s="8"/>
      <c r="C18" s="8"/>
      <c r="D18" s="8"/>
      <c r="E18" s="8"/>
      <c r="F18" s="8"/>
      <c r="G18" s="8"/>
      <c r="H18" s="8"/>
      <c r="I18" s="8"/>
      <c r="J18" s="8"/>
      <c r="K18" s="8"/>
      <c r="L18" s="8"/>
      <c r="M18" s="8"/>
      <c r="N18" s="8"/>
      <c r="O18" s="8"/>
    </row>
    <row r="19" spans="1:15" x14ac:dyDescent="0.3">
      <c r="A19" s="7" t="s">
        <v>242</v>
      </c>
      <c r="B19" s="8"/>
      <c r="C19" s="8"/>
      <c r="D19" s="8"/>
      <c r="E19" s="8"/>
      <c r="F19" s="8"/>
      <c r="G19" s="8"/>
      <c r="H19" s="8"/>
      <c r="I19" s="8"/>
      <c r="J19" s="8"/>
      <c r="K19" s="8"/>
      <c r="L19" s="8"/>
      <c r="M19" s="8"/>
      <c r="N19" s="8"/>
      <c r="O19" s="8"/>
    </row>
    <row r="20" spans="1:15" x14ac:dyDescent="0.3">
      <c r="A20" s="7" t="s">
        <v>243</v>
      </c>
      <c r="B20" s="8"/>
      <c r="C20" s="8"/>
      <c r="D20" s="8"/>
      <c r="E20" s="8"/>
      <c r="F20" s="8"/>
      <c r="G20" s="8"/>
      <c r="H20" s="8"/>
      <c r="I20" s="8"/>
      <c r="J20" s="8"/>
      <c r="K20" s="8"/>
      <c r="L20" s="8"/>
      <c r="M20" s="8"/>
      <c r="N20" s="8"/>
      <c r="O20" s="8"/>
    </row>
    <row r="21" spans="1:15" x14ac:dyDescent="0.3">
      <c r="A21" s="7" t="s">
        <v>244</v>
      </c>
      <c r="B21" s="8"/>
      <c r="C21" s="8"/>
      <c r="D21" s="8"/>
      <c r="E21" s="8"/>
      <c r="F21" s="8"/>
      <c r="G21" s="8"/>
      <c r="H21" s="8"/>
      <c r="I21" s="8"/>
      <c r="J21" s="8"/>
      <c r="K21" s="8"/>
      <c r="L21" s="8"/>
      <c r="M21" s="8"/>
      <c r="N21" s="8"/>
      <c r="O21" s="8"/>
    </row>
    <row r="22" spans="1:15" x14ac:dyDescent="0.3">
      <c r="A22" s="7" t="s">
        <v>245</v>
      </c>
      <c r="B22" s="8"/>
      <c r="C22" s="8"/>
      <c r="D22" s="8"/>
      <c r="E22" s="8"/>
      <c r="F22" s="8"/>
      <c r="G22" s="8"/>
      <c r="H22" s="8"/>
      <c r="I22" s="8"/>
      <c r="J22" s="8"/>
      <c r="K22" s="8"/>
      <c r="L22" s="8"/>
      <c r="M22" s="8"/>
      <c r="N22" s="8"/>
      <c r="O22" s="8"/>
    </row>
    <row r="23" spans="1:15" x14ac:dyDescent="0.3">
      <c r="A23" s="7" t="s">
        <v>246</v>
      </c>
      <c r="B23" s="8"/>
      <c r="C23" s="8"/>
      <c r="D23" s="8"/>
      <c r="E23" s="8"/>
      <c r="F23" s="8"/>
      <c r="G23" s="8"/>
      <c r="H23" s="8"/>
      <c r="I23" s="8"/>
      <c r="J23" s="8"/>
      <c r="K23" s="8"/>
      <c r="L23" s="8"/>
      <c r="M23" s="8"/>
      <c r="N23" s="8"/>
      <c r="O23" s="8"/>
    </row>
    <row r="24" spans="1:15" x14ac:dyDescent="0.3">
      <c r="A24" s="7" t="s">
        <v>247</v>
      </c>
      <c r="B24" s="8"/>
      <c r="C24" s="8"/>
      <c r="D24" s="8"/>
      <c r="E24" s="8"/>
      <c r="F24" s="8"/>
      <c r="G24" s="8"/>
      <c r="H24" s="8"/>
      <c r="I24" s="8"/>
      <c r="J24" s="8"/>
      <c r="K24" s="8"/>
      <c r="L24" s="8"/>
      <c r="M24" s="8"/>
      <c r="N24" s="8"/>
      <c r="O24" s="8"/>
    </row>
    <row r="25" spans="1:15" x14ac:dyDescent="0.3">
      <c r="A25" s="7" t="s">
        <v>248</v>
      </c>
      <c r="B25" s="8"/>
      <c r="C25" s="8"/>
      <c r="D25" s="8"/>
      <c r="E25" s="8"/>
      <c r="F25" s="8"/>
      <c r="G25" s="8"/>
      <c r="H25" s="8"/>
      <c r="I25" s="8"/>
      <c r="J25" s="8"/>
      <c r="K25" s="8"/>
      <c r="L25" s="8"/>
      <c r="M25" s="8"/>
      <c r="N25" s="8"/>
      <c r="O25" s="8"/>
    </row>
    <row r="26" spans="1:15" x14ac:dyDescent="0.3">
      <c r="A26" s="7" t="s">
        <v>249</v>
      </c>
      <c r="B26" s="8"/>
      <c r="C26" s="8"/>
      <c r="D26" s="8"/>
      <c r="E26" s="8"/>
      <c r="F26" s="8"/>
      <c r="G26" s="8"/>
      <c r="H26" s="8"/>
      <c r="I26" s="8"/>
      <c r="J26" s="8"/>
      <c r="K26" s="8"/>
      <c r="L26" s="8"/>
      <c r="M26" s="8"/>
      <c r="N26" s="8"/>
      <c r="O26" s="8"/>
    </row>
    <row r="27" spans="1:15" x14ac:dyDescent="0.3">
      <c r="A27" s="7" t="s">
        <v>250</v>
      </c>
      <c r="B27" s="8"/>
      <c r="C27" s="8"/>
      <c r="D27" s="8"/>
      <c r="E27" s="8"/>
      <c r="F27" s="8"/>
      <c r="G27" s="8"/>
      <c r="H27" s="8"/>
      <c r="I27" s="8"/>
      <c r="J27" s="8"/>
      <c r="K27" s="8"/>
      <c r="L27" s="8"/>
      <c r="M27" s="8"/>
      <c r="N27" s="8"/>
      <c r="O27" s="8"/>
    </row>
    <row r="28" spans="1:15" x14ac:dyDescent="0.3">
      <c r="A28" s="7" t="s">
        <v>251</v>
      </c>
      <c r="B28" s="8"/>
      <c r="C28" s="8"/>
      <c r="D28" s="8"/>
      <c r="E28" s="8"/>
      <c r="F28" s="8"/>
      <c r="G28" s="8"/>
      <c r="H28" s="8"/>
      <c r="I28" s="8"/>
      <c r="J28" s="8"/>
      <c r="K28" s="8"/>
      <c r="L28" s="8"/>
      <c r="M28" s="8"/>
      <c r="N28" s="8"/>
      <c r="O28" s="8"/>
    </row>
    <row r="29" spans="1:15" x14ac:dyDescent="0.3">
      <c r="A29" s="7" t="s">
        <v>252</v>
      </c>
      <c r="B29" s="8"/>
      <c r="C29" s="8"/>
      <c r="D29" s="8"/>
      <c r="E29" s="8"/>
      <c r="F29" s="8"/>
      <c r="G29" s="8"/>
      <c r="H29" s="8"/>
      <c r="I29" s="8"/>
      <c r="J29" s="8"/>
      <c r="K29" s="8"/>
      <c r="L29" s="8"/>
      <c r="M29" s="8"/>
      <c r="N29" s="8"/>
      <c r="O29" s="8"/>
    </row>
    <row r="30" spans="1:15" x14ac:dyDescent="0.3">
      <c r="A30" s="7" t="s">
        <v>253</v>
      </c>
      <c r="B30" s="8"/>
      <c r="C30" s="8"/>
      <c r="D30" s="8"/>
      <c r="E30" s="8"/>
      <c r="F30" s="8"/>
      <c r="G30" s="8"/>
      <c r="H30" s="8"/>
      <c r="I30" s="8"/>
      <c r="J30" s="8"/>
      <c r="K30" s="8"/>
      <c r="L30" s="8"/>
      <c r="M30" s="8"/>
      <c r="N30" s="8"/>
      <c r="O30" s="8"/>
    </row>
    <row r="31" spans="1:15" x14ac:dyDescent="0.3">
      <c r="A31" s="7" t="s">
        <v>254</v>
      </c>
      <c r="B31" s="8"/>
      <c r="C31" s="8"/>
      <c r="D31" s="8"/>
      <c r="E31" s="8"/>
      <c r="F31" s="8"/>
      <c r="G31" s="8"/>
      <c r="H31" s="8"/>
      <c r="I31" s="8"/>
      <c r="J31" s="8"/>
      <c r="K31" s="8"/>
      <c r="L31" s="8"/>
      <c r="M31" s="8"/>
      <c r="N31" s="8"/>
      <c r="O31" s="8"/>
    </row>
    <row r="32" spans="1:15" x14ac:dyDescent="0.3">
      <c r="A32" s="7" t="s">
        <v>255</v>
      </c>
      <c r="B32" s="8"/>
      <c r="C32" s="8"/>
      <c r="D32" s="8"/>
      <c r="E32" s="8"/>
      <c r="F32" s="8"/>
      <c r="G32" s="8"/>
      <c r="H32" s="8"/>
      <c r="I32" s="8"/>
      <c r="J32" s="8"/>
      <c r="K32" s="8"/>
      <c r="L32" s="8"/>
      <c r="M32" s="8"/>
      <c r="N32" s="8"/>
      <c r="O32" s="8"/>
    </row>
    <row r="33" spans="1:15" x14ac:dyDescent="0.3">
      <c r="A33" s="7" t="s">
        <v>256</v>
      </c>
      <c r="B33" s="8"/>
      <c r="C33" s="8"/>
      <c r="D33" s="8"/>
      <c r="E33" s="8"/>
      <c r="F33" s="8"/>
      <c r="G33" s="8"/>
      <c r="H33" s="8"/>
      <c r="I33" s="8"/>
      <c r="J33" s="8"/>
      <c r="K33" s="8"/>
      <c r="L33" s="8"/>
      <c r="M33" s="8"/>
      <c r="N33" s="8"/>
      <c r="O33" s="8"/>
    </row>
    <row r="34" spans="1:15" x14ac:dyDescent="0.3">
      <c r="A34" s="7" t="s">
        <v>257</v>
      </c>
      <c r="B34" s="8"/>
      <c r="C34" s="8"/>
      <c r="D34" s="8"/>
      <c r="E34" s="8"/>
      <c r="F34" s="8"/>
      <c r="G34" s="8"/>
      <c r="H34" s="8"/>
      <c r="I34" s="8"/>
      <c r="J34" s="8"/>
      <c r="K34" s="8"/>
      <c r="L34" s="8"/>
      <c r="M34" s="8"/>
      <c r="N34" s="8"/>
      <c r="O34" s="8"/>
    </row>
    <row r="35" spans="1:15" x14ac:dyDescent="0.3">
      <c r="A35" s="7" t="s">
        <v>258</v>
      </c>
      <c r="B35" s="8"/>
      <c r="C35" s="8"/>
      <c r="D35" s="8"/>
      <c r="E35" s="8"/>
      <c r="F35" s="8"/>
      <c r="G35" s="8"/>
      <c r="H35" s="8"/>
      <c r="I35" s="8"/>
      <c r="J35" s="8"/>
      <c r="K35" s="8"/>
      <c r="L35" s="8"/>
      <c r="M35" s="8"/>
      <c r="N35" s="8"/>
      <c r="O35" s="8"/>
    </row>
  </sheetData>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ErrorMessage="1" errorTitle="Valor inválido" error="Escolha um valor da lista." xr:uid="{00000000-0002-0000-0600-000000000000}">
          <x14:formula1>
            <xm:f>Listas!$A$2:$A$22</xm:f>
          </x14:formula1>
          <x14:formula2>
            <xm:f>0</xm:f>
          </x14:formula2>
          <xm:sqref>C6:C35</xm:sqref>
        </x14:dataValidation>
        <x14:dataValidation type="list" allowBlank="1" showErrorMessage="1" errorTitle="Valor inválido" error="Escolha um valor da lista." xr:uid="{00000000-0002-0000-0600-000001000000}">
          <x14:formula1>
            <xm:f>Listas!$C$2:$C$15</xm:f>
          </x14:formula1>
          <x14:formula2>
            <xm:f>0</xm:f>
          </x14:formula2>
          <xm:sqref>F6:F35</xm:sqref>
        </x14:dataValidation>
        <x14:dataValidation type="list" allowBlank="1" showErrorMessage="1" errorTitle="Valor inválido" error="Escolha um valor da lista." xr:uid="{00000000-0002-0000-0600-000002000000}">
          <x14:formula1>
            <xm:f>Listas!$F$2:$F$5</xm:f>
          </x14:formula1>
          <x14:formula2>
            <xm:f>0</xm:f>
          </x14:formula2>
          <xm:sqref>G6:G35</xm:sqref>
        </x14:dataValidation>
        <x14:dataValidation type="list" allowBlank="1" showErrorMessage="1" errorTitle="Valor inválido" error="Escolha um valor da lista." xr:uid="{00000000-0002-0000-0600-000003000000}">
          <x14:formula1>
            <xm:f>Listas!$G$2:$G$4</xm:f>
          </x14:formula1>
          <x14:formula2>
            <xm:f>0</xm:f>
          </x14:formula2>
          <xm:sqref>H6:H35</xm:sqref>
        </x14:dataValidation>
        <x14:dataValidation type="list" allowBlank="1" showErrorMessage="1" errorTitle="Valor inválido" error="Escolha um valor da lista." xr:uid="{00000000-0002-0000-0600-000004000000}">
          <x14:formula1>
            <xm:f>Listas!$H$2:$H$5</xm:f>
          </x14:formula1>
          <x14:formula2>
            <xm:f>0</xm:f>
          </x14:formula2>
          <xm:sqref>N6:N35</xm:sqref>
        </x14:dataValidation>
        <x14:dataValidation type="list" allowBlank="1" showErrorMessage="1" errorTitle="Valor inválido" error="Escolha um valor da lista." xr:uid="{00000000-0002-0000-0600-000005000000}">
          <x14:formula1>
            <xm:f>Listas!$N$2:$N$8</xm:f>
          </x14:formula1>
          <x14:formula2>
            <xm:f>0</xm:f>
          </x14:formula2>
          <xm:sqref>O6:O35</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20"/>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6640625" defaultRowHeight="14.4" x14ac:dyDescent="0.3"/>
  <cols>
    <col min="1" max="1" width="9" customWidth="1"/>
    <col min="2" max="2" width="16" customWidth="1"/>
    <col min="3" max="3" width="8" customWidth="1"/>
    <col min="4" max="4" width="32" customWidth="1"/>
    <col min="5" max="5" width="46" customWidth="1"/>
    <col min="6" max="6" width="20" customWidth="1"/>
    <col min="7" max="7" width="28" customWidth="1"/>
    <col min="8" max="8" width="13" customWidth="1"/>
    <col min="9" max="9" width="12" customWidth="1"/>
    <col min="10" max="10" width="16" customWidth="1"/>
  </cols>
  <sheetData>
    <row r="1" spans="1:10" ht="17.399999999999999" x14ac:dyDescent="0.3">
      <c r="A1" s="1" t="s">
        <v>259</v>
      </c>
    </row>
    <row r="2" spans="1:10" x14ac:dyDescent="0.3">
      <c r="A2" s="2" t="s">
        <v>260</v>
      </c>
    </row>
    <row r="4" spans="1:10" ht="31.5" customHeight="1" x14ac:dyDescent="0.3">
      <c r="A4" s="10" t="s">
        <v>64</v>
      </c>
      <c r="B4" s="10" t="s">
        <v>130</v>
      </c>
      <c r="C4" s="10" t="s">
        <v>88</v>
      </c>
      <c r="D4" s="10" t="s">
        <v>261</v>
      </c>
      <c r="E4" s="10" t="s">
        <v>262</v>
      </c>
      <c r="F4" s="10" t="s">
        <v>263</v>
      </c>
      <c r="G4" s="10" t="s">
        <v>264</v>
      </c>
      <c r="H4" s="10" t="s">
        <v>155</v>
      </c>
      <c r="I4" s="10" t="s">
        <v>156</v>
      </c>
      <c r="J4" s="10" t="s">
        <v>157</v>
      </c>
    </row>
    <row r="5" spans="1:10" ht="26.4" x14ac:dyDescent="0.3">
      <c r="A5" s="14" t="s">
        <v>265</v>
      </c>
      <c r="B5" s="14" t="s">
        <v>138</v>
      </c>
      <c r="C5" s="14" t="s">
        <v>266</v>
      </c>
      <c r="D5" s="14" t="s">
        <v>267</v>
      </c>
      <c r="E5" s="14" t="s">
        <v>268</v>
      </c>
      <c r="F5" s="14" t="s">
        <v>269</v>
      </c>
      <c r="G5" s="14" t="s">
        <v>270</v>
      </c>
      <c r="H5" s="14" t="s">
        <v>168</v>
      </c>
      <c r="I5" s="14"/>
      <c r="J5" s="14" t="s">
        <v>271</v>
      </c>
    </row>
    <row r="6" spans="1:10" x14ac:dyDescent="0.3">
      <c r="A6" s="7" t="s">
        <v>272</v>
      </c>
      <c r="B6" s="8" t="s">
        <v>137</v>
      </c>
      <c r="C6" s="8"/>
      <c r="D6" s="8"/>
      <c r="E6" s="8"/>
      <c r="F6" s="8"/>
      <c r="G6" s="8"/>
      <c r="H6" s="8"/>
      <c r="I6" s="8"/>
      <c r="J6" s="8"/>
    </row>
    <row r="7" spans="1:10" x14ac:dyDescent="0.3">
      <c r="A7" s="7" t="s">
        <v>273</v>
      </c>
      <c r="B7" s="8" t="s">
        <v>138</v>
      </c>
      <c r="C7" s="8"/>
      <c r="D7" s="8"/>
      <c r="E7" s="8"/>
      <c r="F7" s="8"/>
      <c r="G7" s="8"/>
      <c r="H7" s="8"/>
      <c r="I7" s="8"/>
      <c r="J7" s="8"/>
    </row>
    <row r="8" spans="1:10" x14ac:dyDescent="0.3">
      <c r="A8" s="7" t="s">
        <v>274</v>
      </c>
      <c r="B8" s="8" t="s">
        <v>139</v>
      </c>
      <c r="C8" s="8"/>
      <c r="D8" s="8"/>
      <c r="E8" s="8"/>
      <c r="F8" s="8"/>
      <c r="G8" s="8"/>
      <c r="H8" s="8"/>
      <c r="I8" s="8"/>
      <c r="J8" s="8"/>
    </row>
    <row r="9" spans="1:10" x14ac:dyDescent="0.3">
      <c r="A9" s="7" t="s">
        <v>275</v>
      </c>
      <c r="B9" s="8" t="s">
        <v>140</v>
      </c>
      <c r="C9" s="8"/>
      <c r="D9" s="8"/>
      <c r="E9" s="8"/>
      <c r="F9" s="8"/>
      <c r="G9" s="8"/>
      <c r="H9" s="8"/>
      <c r="I9" s="8"/>
      <c r="J9" s="8"/>
    </row>
    <row r="10" spans="1:10" x14ac:dyDescent="0.3">
      <c r="A10" s="7" t="s">
        <v>276</v>
      </c>
      <c r="B10" s="8" t="s">
        <v>141</v>
      </c>
      <c r="C10" s="8"/>
      <c r="D10" s="8"/>
      <c r="E10" s="8"/>
      <c r="F10" s="8"/>
      <c r="G10" s="8"/>
      <c r="H10" s="8"/>
      <c r="I10" s="8"/>
      <c r="J10" s="8"/>
    </row>
    <row r="11" spans="1:10" x14ac:dyDescent="0.3">
      <c r="A11" s="7" t="s">
        <v>277</v>
      </c>
      <c r="B11" s="8" t="s">
        <v>142</v>
      </c>
      <c r="C11" s="8"/>
      <c r="D11" s="8"/>
      <c r="E11" s="8"/>
      <c r="F11" s="8"/>
      <c r="G11" s="8"/>
      <c r="H11" s="8"/>
      <c r="I11" s="8"/>
      <c r="J11" s="8"/>
    </row>
    <row r="12" spans="1:10" x14ac:dyDescent="0.3">
      <c r="A12" s="7" t="s">
        <v>278</v>
      </c>
      <c r="B12" s="8" t="s">
        <v>143</v>
      </c>
      <c r="C12" s="8"/>
      <c r="D12" s="8"/>
      <c r="E12" s="8"/>
      <c r="F12" s="8"/>
      <c r="G12" s="8"/>
      <c r="H12" s="8"/>
      <c r="I12" s="8"/>
      <c r="J12" s="8"/>
    </row>
    <row r="13" spans="1:10" x14ac:dyDescent="0.3">
      <c r="A13" s="7" t="s">
        <v>279</v>
      </c>
      <c r="B13" s="8"/>
      <c r="C13" s="8"/>
      <c r="D13" s="8"/>
      <c r="E13" s="8"/>
      <c r="F13" s="8"/>
      <c r="G13" s="8"/>
      <c r="H13" s="8"/>
      <c r="I13" s="8"/>
      <c r="J13" s="8"/>
    </row>
    <row r="14" spans="1:10" x14ac:dyDescent="0.3">
      <c r="A14" s="7" t="s">
        <v>280</v>
      </c>
      <c r="B14" s="8"/>
      <c r="C14" s="8"/>
      <c r="D14" s="8"/>
      <c r="E14" s="8"/>
      <c r="F14" s="8"/>
      <c r="G14" s="8"/>
      <c r="H14" s="8"/>
      <c r="I14" s="8"/>
      <c r="J14" s="8"/>
    </row>
    <row r="15" spans="1:10" x14ac:dyDescent="0.3">
      <c r="A15" s="7" t="s">
        <v>281</v>
      </c>
      <c r="B15" s="8"/>
      <c r="C15" s="8"/>
      <c r="D15" s="8"/>
      <c r="E15" s="8"/>
      <c r="F15" s="8"/>
      <c r="G15" s="8"/>
      <c r="H15" s="8"/>
      <c r="I15" s="8"/>
      <c r="J15" s="8"/>
    </row>
    <row r="16" spans="1:10" x14ac:dyDescent="0.3">
      <c r="A16" s="7" t="s">
        <v>282</v>
      </c>
      <c r="B16" s="8"/>
      <c r="C16" s="8"/>
      <c r="D16" s="8"/>
      <c r="E16" s="8"/>
      <c r="F16" s="8"/>
      <c r="G16" s="8"/>
      <c r="H16" s="8"/>
      <c r="I16" s="8"/>
      <c r="J16" s="8"/>
    </row>
    <row r="17" spans="1:10" x14ac:dyDescent="0.3">
      <c r="A17" s="7" t="s">
        <v>283</v>
      </c>
      <c r="B17" s="8"/>
      <c r="C17" s="8"/>
      <c r="D17" s="8"/>
      <c r="E17" s="8"/>
      <c r="F17" s="8"/>
      <c r="G17" s="8"/>
      <c r="H17" s="8"/>
      <c r="I17" s="8"/>
      <c r="J17" s="8"/>
    </row>
    <row r="18" spans="1:10" x14ac:dyDescent="0.3">
      <c r="A18" s="7" t="s">
        <v>284</v>
      </c>
      <c r="B18" s="8"/>
      <c r="C18" s="8"/>
      <c r="D18" s="8"/>
      <c r="E18" s="8"/>
      <c r="F18" s="8"/>
      <c r="G18" s="8"/>
      <c r="H18" s="8"/>
      <c r="I18" s="8"/>
      <c r="J18" s="8"/>
    </row>
    <row r="19" spans="1:10" x14ac:dyDescent="0.3">
      <c r="A19" s="7" t="s">
        <v>285</v>
      </c>
      <c r="B19" s="8"/>
      <c r="C19" s="8"/>
      <c r="D19" s="8"/>
      <c r="E19" s="8"/>
      <c r="F19" s="8"/>
      <c r="G19" s="8"/>
      <c r="H19" s="8"/>
      <c r="I19" s="8"/>
      <c r="J19" s="8"/>
    </row>
    <row r="20" spans="1:10" x14ac:dyDescent="0.3">
      <c r="A20" s="7" t="s">
        <v>286</v>
      </c>
      <c r="B20" s="8"/>
      <c r="C20" s="8"/>
      <c r="D20" s="8"/>
      <c r="E20" s="8"/>
      <c r="F20" s="8"/>
      <c r="G20" s="8"/>
      <c r="H20" s="8"/>
      <c r="I20" s="8"/>
      <c r="J20" s="8"/>
    </row>
  </sheetData>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ErrorMessage="1" errorTitle="Valor inválido" error="Escolha um valor da lista." xr:uid="{00000000-0002-0000-0700-000000000000}">
          <x14:formula1>
            <xm:f>Listas!$C$2:$C$15</xm:f>
          </x14:formula1>
          <x14:formula2>
            <xm:f>0</xm:f>
          </x14:formula2>
          <xm:sqref>B6:B20</xm:sqref>
        </x14:dataValidation>
        <x14:dataValidation type="list" allowBlank="1" showErrorMessage="1" errorTitle="Valor inválido" error="Escolha um valor da lista." xr:uid="{00000000-0002-0000-0700-000001000000}">
          <x14:formula1>
            <xm:f>Listas!$A$2:$A$22</xm:f>
          </x14:formula1>
          <x14:formula2>
            <xm:f>0</xm:f>
          </x14:formula2>
          <xm:sqref>C6:C20</xm:sqref>
        </x14:dataValidation>
        <x14:dataValidation type="list" allowBlank="1" showErrorMessage="1" errorTitle="Valor inválido" error="Escolha um valor da lista." xr:uid="{00000000-0002-0000-0700-000002000000}">
          <x14:formula1>
            <xm:f>Listas!$E$2:$E$5</xm:f>
          </x14:formula1>
          <x14:formula2>
            <xm:f>0</xm:f>
          </x14:formula2>
          <xm:sqref>H6:H20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25"/>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6640625" defaultRowHeight="14.4" x14ac:dyDescent="0.3"/>
  <cols>
    <col min="1" max="1" width="9" customWidth="1"/>
    <col min="2" max="2" width="22" customWidth="1"/>
    <col min="3" max="3" width="40" customWidth="1"/>
    <col min="4" max="4" width="18" customWidth="1"/>
    <col min="5" max="5" width="32" customWidth="1"/>
    <col min="6" max="6" width="30" customWidth="1"/>
    <col min="7" max="7" width="26" customWidth="1"/>
    <col min="8" max="8" width="13" customWidth="1"/>
    <col min="9" max="9" width="8" customWidth="1"/>
    <col min="10" max="10" width="12" customWidth="1"/>
  </cols>
  <sheetData>
    <row r="1" spans="1:10" ht="17.399999999999999" x14ac:dyDescent="0.3">
      <c r="A1" s="1" t="s">
        <v>287</v>
      </c>
    </row>
    <row r="2" spans="1:10" x14ac:dyDescent="0.3">
      <c r="A2" s="2" t="s">
        <v>288</v>
      </c>
    </row>
    <row r="4" spans="1:10" ht="31.5" customHeight="1" x14ac:dyDescent="0.3">
      <c r="A4" s="10" t="s">
        <v>64</v>
      </c>
      <c r="B4" s="10" t="s">
        <v>289</v>
      </c>
      <c r="C4" s="10" t="s">
        <v>290</v>
      </c>
      <c r="D4" s="10" t="s">
        <v>291</v>
      </c>
      <c r="E4" s="10" t="s">
        <v>292</v>
      </c>
      <c r="F4" s="10" t="s">
        <v>293</v>
      </c>
      <c r="G4" s="10" t="s">
        <v>154</v>
      </c>
      <c r="H4" s="10" t="s">
        <v>155</v>
      </c>
      <c r="I4" s="10" t="s">
        <v>88</v>
      </c>
      <c r="J4" s="10" t="s">
        <v>156</v>
      </c>
    </row>
    <row r="5" spans="1:10" ht="26.4" x14ac:dyDescent="0.3">
      <c r="A5" s="14" t="s">
        <v>294</v>
      </c>
      <c r="B5" s="14" t="s">
        <v>295</v>
      </c>
      <c r="C5" s="14" t="s">
        <v>296</v>
      </c>
      <c r="D5" s="14" t="s">
        <v>297</v>
      </c>
      <c r="E5" s="14" t="s">
        <v>298</v>
      </c>
      <c r="F5" s="14" t="s">
        <v>299</v>
      </c>
      <c r="G5" s="14" t="s">
        <v>300</v>
      </c>
      <c r="H5" s="14" t="s">
        <v>168</v>
      </c>
      <c r="I5" s="14" t="s">
        <v>94</v>
      </c>
      <c r="J5" s="14"/>
    </row>
    <row r="6" spans="1:10" x14ac:dyDescent="0.3">
      <c r="A6" s="7" t="s">
        <v>301</v>
      </c>
      <c r="B6" s="8"/>
      <c r="C6" s="8"/>
      <c r="D6" s="8"/>
      <c r="E6" s="8"/>
      <c r="F6" s="8"/>
      <c r="G6" s="8"/>
      <c r="H6" s="8"/>
      <c r="I6" s="8"/>
      <c r="J6" s="8"/>
    </row>
    <row r="7" spans="1:10" x14ac:dyDescent="0.3">
      <c r="A7" s="7" t="s">
        <v>302</v>
      </c>
      <c r="B7" s="8"/>
      <c r="C7" s="8"/>
      <c r="D7" s="8"/>
      <c r="E7" s="8"/>
      <c r="F7" s="8"/>
      <c r="G7" s="8"/>
      <c r="H7" s="8"/>
      <c r="I7" s="8"/>
      <c r="J7" s="8"/>
    </row>
    <row r="8" spans="1:10" x14ac:dyDescent="0.3">
      <c r="A8" s="7" t="s">
        <v>303</v>
      </c>
      <c r="B8" s="8"/>
      <c r="C8" s="8"/>
      <c r="D8" s="8"/>
      <c r="E8" s="8"/>
      <c r="F8" s="8"/>
      <c r="G8" s="8"/>
      <c r="H8" s="8"/>
      <c r="I8" s="8"/>
      <c r="J8" s="8"/>
    </row>
    <row r="9" spans="1:10" x14ac:dyDescent="0.3">
      <c r="A9" s="7" t="s">
        <v>304</v>
      </c>
      <c r="B9" s="8"/>
      <c r="C9" s="8"/>
      <c r="D9" s="8"/>
      <c r="E9" s="8"/>
      <c r="F9" s="8"/>
      <c r="G9" s="8"/>
      <c r="H9" s="8"/>
      <c r="I9" s="8"/>
      <c r="J9" s="8"/>
    </row>
    <row r="10" spans="1:10" x14ac:dyDescent="0.3">
      <c r="A10" s="7" t="s">
        <v>305</v>
      </c>
      <c r="B10" s="8"/>
      <c r="C10" s="8"/>
      <c r="D10" s="8"/>
      <c r="E10" s="8"/>
      <c r="F10" s="8"/>
      <c r="G10" s="8"/>
      <c r="H10" s="8"/>
      <c r="I10" s="8"/>
      <c r="J10" s="8"/>
    </row>
    <row r="11" spans="1:10" x14ac:dyDescent="0.3">
      <c r="A11" s="7" t="s">
        <v>306</v>
      </c>
      <c r="B11" s="8"/>
      <c r="C11" s="8"/>
      <c r="D11" s="8"/>
      <c r="E11" s="8"/>
      <c r="F11" s="8"/>
      <c r="G11" s="8"/>
      <c r="H11" s="8"/>
      <c r="I11" s="8"/>
      <c r="J11" s="8"/>
    </row>
    <row r="12" spans="1:10" x14ac:dyDescent="0.3">
      <c r="A12" s="7" t="s">
        <v>307</v>
      </c>
      <c r="B12" s="8"/>
      <c r="C12" s="8"/>
      <c r="D12" s="8"/>
      <c r="E12" s="8"/>
      <c r="F12" s="8"/>
      <c r="G12" s="8"/>
      <c r="H12" s="8"/>
      <c r="I12" s="8"/>
      <c r="J12" s="8"/>
    </row>
    <row r="13" spans="1:10" x14ac:dyDescent="0.3">
      <c r="A13" s="7" t="s">
        <v>308</v>
      </c>
      <c r="B13" s="8"/>
      <c r="C13" s="8"/>
      <c r="D13" s="8"/>
      <c r="E13" s="8"/>
      <c r="F13" s="8"/>
      <c r="G13" s="8"/>
      <c r="H13" s="8"/>
      <c r="I13" s="8"/>
      <c r="J13" s="8"/>
    </row>
    <row r="14" spans="1:10" x14ac:dyDescent="0.3">
      <c r="A14" s="7" t="s">
        <v>309</v>
      </c>
      <c r="B14" s="8"/>
      <c r="C14" s="8"/>
      <c r="D14" s="8"/>
      <c r="E14" s="8"/>
      <c r="F14" s="8"/>
      <c r="G14" s="8"/>
      <c r="H14" s="8"/>
      <c r="I14" s="8"/>
      <c r="J14" s="8"/>
    </row>
    <row r="15" spans="1:10" x14ac:dyDescent="0.3">
      <c r="A15" s="7" t="s">
        <v>310</v>
      </c>
      <c r="B15" s="8"/>
      <c r="C15" s="8"/>
      <c r="D15" s="8"/>
      <c r="E15" s="8"/>
      <c r="F15" s="8"/>
      <c r="G15" s="8"/>
      <c r="H15" s="8"/>
      <c r="I15" s="8"/>
      <c r="J15" s="8"/>
    </row>
    <row r="16" spans="1:10" x14ac:dyDescent="0.3">
      <c r="A16" s="7" t="s">
        <v>311</v>
      </c>
      <c r="B16" s="8"/>
      <c r="C16" s="8"/>
      <c r="D16" s="8"/>
      <c r="E16" s="8"/>
      <c r="F16" s="8"/>
      <c r="G16" s="8"/>
      <c r="H16" s="8"/>
      <c r="I16" s="8"/>
      <c r="J16" s="8"/>
    </row>
    <row r="17" spans="1:10" x14ac:dyDescent="0.3">
      <c r="A17" s="7" t="s">
        <v>312</v>
      </c>
      <c r="B17" s="8"/>
      <c r="C17" s="8"/>
      <c r="D17" s="8"/>
      <c r="E17" s="8"/>
      <c r="F17" s="8"/>
      <c r="G17" s="8"/>
      <c r="H17" s="8"/>
      <c r="I17" s="8"/>
      <c r="J17" s="8"/>
    </row>
    <row r="18" spans="1:10" x14ac:dyDescent="0.3">
      <c r="A18" s="7" t="s">
        <v>313</v>
      </c>
      <c r="B18" s="8"/>
      <c r="C18" s="8"/>
      <c r="D18" s="8"/>
      <c r="E18" s="8"/>
      <c r="F18" s="8"/>
      <c r="G18" s="8"/>
      <c r="H18" s="8"/>
      <c r="I18" s="8"/>
      <c r="J18" s="8"/>
    </row>
    <row r="19" spans="1:10" x14ac:dyDescent="0.3">
      <c r="A19" s="7" t="s">
        <v>314</v>
      </c>
      <c r="B19" s="8"/>
      <c r="C19" s="8"/>
      <c r="D19" s="8"/>
      <c r="E19" s="8"/>
      <c r="F19" s="8"/>
      <c r="G19" s="8"/>
      <c r="H19" s="8"/>
      <c r="I19" s="8"/>
      <c r="J19" s="8"/>
    </row>
    <row r="20" spans="1:10" x14ac:dyDescent="0.3">
      <c r="A20" s="7" t="s">
        <v>315</v>
      </c>
      <c r="B20" s="8"/>
      <c r="C20" s="8"/>
      <c r="D20" s="8"/>
      <c r="E20" s="8"/>
      <c r="F20" s="8"/>
      <c r="G20" s="8"/>
      <c r="H20" s="8"/>
      <c r="I20" s="8"/>
      <c r="J20" s="8"/>
    </row>
    <row r="21" spans="1:10" x14ac:dyDescent="0.3">
      <c r="A21" s="7" t="s">
        <v>316</v>
      </c>
      <c r="B21" s="8"/>
      <c r="C21" s="8"/>
      <c r="D21" s="8"/>
      <c r="E21" s="8"/>
      <c r="F21" s="8"/>
      <c r="G21" s="8"/>
      <c r="H21" s="8"/>
      <c r="I21" s="8"/>
      <c r="J21" s="8"/>
    </row>
    <row r="22" spans="1:10" x14ac:dyDescent="0.3">
      <c r="A22" s="7" t="s">
        <v>317</v>
      </c>
      <c r="B22" s="8"/>
      <c r="C22" s="8"/>
      <c r="D22" s="8"/>
      <c r="E22" s="8"/>
      <c r="F22" s="8"/>
      <c r="G22" s="8"/>
      <c r="H22" s="8"/>
      <c r="I22" s="8"/>
      <c r="J22" s="8"/>
    </row>
    <row r="23" spans="1:10" x14ac:dyDescent="0.3">
      <c r="A23" s="7" t="s">
        <v>318</v>
      </c>
      <c r="B23" s="8"/>
      <c r="C23" s="8"/>
      <c r="D23" s="8"/>
      <c r="E23" s="8"/>
      <c r="F23" s="8"/>
      <c r="G23" s="8"/>
      <c r="H23" s="8"/>
      <c r="I23" s="8"/>
      <c r="J23" s="8"/>
    </row>
    <row r="24" spans="1:10" x14ac:dyDescent="0.3">
      <c r="A24" s="7" t="s">
        <v>319</v>
      </c>
      <c r="B24" s="8"/>
      <c r="C24" s="8"/>
      <c r="D24" s="8"/>
      <c r="E24" s="8"/>
      <c r="F24" s="8"/>
      <c r="G24" s="8"/>
      <c r="H24" s="8"/>
      <c r="I24" s="8"/>
      <c r="J24" s="8"/>
    </row>
    <row r="25" spans="1:10" x14ac:dyDescent="0.3">
      <c r="A25" s="7" t="s">
        <v>320</v>
      </c>
      <c r="B25" s="8"/>
      <c r="C25" s="8"/>
      <c r="D25" s="8"/>
      <c r="E25" s="8"/>
      <c r="F25" s="8"/>
      <c r="G25" s="8"/>
      <c r="H25" s="8"/>
      <c r="I25" s="8"/>
      <c r="J25" s="8"/>
    </row>
  </sheetData>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ErrorMessage="1" errorTitle="Valor inválido" error="Escolha um valor da lista." xr:uid="{00000000-0002-0000-0800-000000000000}">
          <x14:formula1>
            <xm:f>Listas!$M$2:$M$12</xm:f>
          </x14:formula1>
          <x14:formula2>
            <xm:f>0</xm:f>
          </x14:formula2>
          <xm:sqref>B6:B25</xm:sqref>
        </x14:dataValidation>
        <x14:dataValidation type="list" allowBlank="1" showErrorMessage="1" errorTitle="Valor inválido" error="Escolha um valor da lista." xr:uid="{00000000-0002-0000-0800-000001000000}">
          <x14:formula1>
            <xm:f>Listas!$E$2:$E$5</xm:f>
          </x14:formula1>
          <x14:formula2>
            <xm:f>0</xm:f>
          </x14:formula2>
          <xm:sqref>H6:H25</xm:sqref>
        </x14:dataValidation>
        <x14:dataValidation type="list" allowBlank="1" showErrorMessage="1" errorTitle="Valor inválido" error="Escolha um valor da lista." xr:uid="{00000000-0002-0000-0800-000002000000}">
          <x14:formula1>
            <xm:f>Listas!$A$2:$A$22</xm:f>
          </x14:formula1>
          <x14:formula2>
            <xm:f>0</xm:f>
          </x14:formula2>
          <xm:sqref>I6:I25</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25"/>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6640625" defaultRowHeight="14.4" x14ac:dyDescent="0.3"/>
  <cols>
    <col min="1" max="1" width="8" customWidth="1"/>
    <col min="2" max="2" width="22" customWidth="1"/>
    <col min="3" max="3" width="38" customWidth="1"/>
    <col min="4" max="4" width="8" customWidth="1"/>
    <col min="5" max="5" width="58" customWidth="1"/>
    <col min="6" max="7" width="14" customWidth="1"/>
    <col min="8" max="8" width="16" customWidth="1"/>
    <col min="9" max="9" width="12" customWidth="1"/>
  </cols>
  <sheetData>
    <row r="1" spans="1:9" ht="17.399999999999999" x14ac:dyDescent="0.3">
      <c r="A1" s="1" t="s">
        <v>321</v>
      </c>
    </row>
    <row r="2" spans="1:9" x14ac:dyDescent="0.3">
      <c r="A2" s="2" t="s">
        <v>322</v>
      </c>
    </row>
    <row r="4" spans="1:9" ht="31.5" customHeight="1" x14ac:dyDescent="0.3">
      <c r="A4" s="10" t="s">
        <v>64</v>
      </c>
      <c r="B4" s="10" t="s">
        <v>323</v>
      </c>
      <c r="C4" s="10" t="s">
        <v>324</v>
      </c>
      <c r="D4" s="10" t="s">
        <v>88</v>
      </c>
      <c r="E4" s="10" t="s">
        <v>325</v>
      </c>
      <c r="F4" s="10" t="s">
        <v>326</v>
      </c>
      <c r="G4" s="10" t="s">
        <v>327</v>
      </c>
      <c r="H4" s="10" t="s">
        <v>328</v>
      </c>
      <c r="I4" s="10" t="s">
        <v>156</v>
      </c>
    </row>
    <row r="5" spans="1:9" x14ac:dyDescent="0.3">
      <c r="A5" s="14" t="s">
        <v>329</v>
      </c>
      <c r="B5" s="14" t="s">
        <v>330</v>
      </c>
      <c r="C5" s="14" t="s">
        <v>331</v>
      </c>
      <c r="D5" s="14" t="s">
        <v>94</v>
      </c>
      <c r="E5" s="14" t="s">
        <v>332</v>
      </c>
      <c r="F5" s="14" t="s">
        <v>333</v>
      </c>
      <c r="G5" s="14" t="s">
        <v>333</v>
      </c>
      <c r="H5" s="14" t="s">
        <v>168</v>
      </c>
      <c r="I5" s="14"/>
    </row>
    <row r="6" spans="1:9" x14ac:dyDescent="0.3">
      <c r="A6" s="7" t="s">
        <v>334</v>
      </c>
      <c r="B6" s="8"/>
      <c r="C6" s="8"/>
      <c r="D6" s="8"/>
      <c r="E6" s="8"/>
      <c r="F6" s="8"/>
      <c r="G6" s="8"/>
      <c r="H6" s="8"/>
      <c r="I6" s="8"/>
    </row>
    <row r="7" spans="1:9" x14ac:dyDescent="0.3">
      <c r="A7" s="7" t="s">
        <v>335</v>
      </c>
      <c r="B7" s="8"/>
      <c r="C7" s="8"/>
      <c r="D7" s="8"/>
      <c r="E7" s="8"/>
      <c r="F7" s="8"/>
      <c r="G7" s="8"/>
      <c r="H7" s="8"/>
      <c r="I7" s="8"/>
    </row>
    <row r="8" spans="1:9" x14ac:dyDescent="0.3">
      <c r="A8" s="7" t="s">
        <v>336</v>
      </c>
      <c r="B8" s="8"/>
      <c r="C8" s="8"/>
      <c r="D8" s="8"/>
      <c r="E8" s="8"/>
      <c r="F8" s="8"/>
      <c r="G8" s="8"/>
      <c r="H8" s="8"/>
      <c r="I8" s="8"/>
    </row>
    <row r="9" spans="1:9" x14ac:dyDescent="0.3">
      <c r="A9" s="7" t="s">
        <v>337</v>
      </c>
      <c r="B9" s="8"/>
      <c r="C9" s="8"/>
      <c r="D9" s="8"/>
      <c r="E9" s="8"/>
      <c r="F9" s="8"/>
      <c r="G9" s="8"/>
      <c r="H9" s="8"/>
      <c r="I9" s="8"/>
    </row>
    <row r="10" spans="1:9" x14ac:dyDescent="0.3">
      <c r="A10" s="7" t="s">
        <v>338</v>
      </c>
      <c r="B10" s="8"/>
      <c r="C10" s="8"/>
      <c r="D10" s="8"/>
      <c r="E10" s="8"/>
      <c r="F10" s="8"/>
      <c r="G10" s="8"/>
      <c r="H10" s="8"/>
      <c r="I10" s="8"/>
    </row>
    <row r="11" spans="1:9" x14ac:dyDescent="0.3">
      <c r="A11" s="7" t="s">
        <v>339</v>
      </c>
      <c r="B11" s="8"/>
      <c r="C11" s="8"/>
      <c r="D11" s="8"/>
      <c r="E11" s="8"/>
      <c r="F11" s="8"/>
      <c r="G11" s="8"/>
      <c r="H11" s="8"/>
      <c r="I11" s="8"/>
    </row>
    <row r="12" spans="1:9" x14ac:dyDescent="0.3">
      <c r="A12" s="7" t="s">
        <v>340</v>
      </c>
      <c r="B12" s="8"/>
      <c r="C12" s="8"/>
      <c r="D12" s="8"/>
      <c r="E12" s="8"/>
      <c r="F12" s="8"/>
      <c r="G12" s="8"/>
      <c r="H12" s="8"/>
      <c r="I12" s="8"/>
    </row>
    <row r="13" spans="1:9" x14ac:dyDescent="0.3">
      <c r="A13" s="7" t="s">
        <v>341</v>
      </c>
      <c r="B13" s="8"/>
      <c r="C13" s="8"/>
      <c r="D13" s="8"/>
      <c r="E13" s="8"/>
      <c r="F13" s="8"/>
      <c r="G13" s="8"/>
      <c r="H13" s="8"/>
      <c r="I13" s="8"/>
    </row>
    <row r="14" spans="1:9" x14ac:dyDescent="0.3">
      <c r="A14" s="7" t="s">
        <v>342</v>
      </c>
      <c r="B14" s="8"/>
      <c r="C14" s="8"/>
      <c r="D14" s="8"/>
      <c r="E14" s="8"/>
      <c r="F14" s="8"/>
      <c r="G14" s="8"/>
      <c r="H14" s="8"/>
      <c r="I14" s="8"/>
    </row>
    <row r="15" spans="1:9" x14ac:dyDescent="0.3">
      <c r="A15" s="7" t="s">
        <v>343</v>
      </c>
      <c r="B15" s="8"/>
      <c r="C15" s="8"/>
      <c r="D15" s="8"/>
      <c r="E15" s="8"/>
      <c r="F15" s="8"/>
      <c r="G15" s="8"/>
      <c r="H15" s="8"/>
      <c r="I15" s="8"/>
    </row>
    <row r="16" spans="1:9" x14ac:dyDescent="0.3">
      <c r="A16" s="7" t="s">
        <v>344</v>
      </c>
      <c r="B16" s="8"/>
      <c r="C16" s="8"/>
      <c r="D16" s="8"/>
      <c r="E16" s="8"/>
      <c r="F16" s="8"/>
      <c r="G16" s="8"/>
      <c r="H16" s="8"/>
      <c r="I16" s="8"/>
    </row>
    <row r="17" spans="1:9" x14ac:dyDescent="0.3">
      <c r="A17" s="7" t="s">
        <v>345</v>
      </c>
      <c r="B17" s="8"/>
      <c r="C17" s="8"/>
      <c r="D17" s="8"/>
      <c r="E17" s="8"/>
      <c r="F17" s="8"/>
      <c r="G17" s="8"/>
      <c r="H17" s="8"/>
      <c r="I17" s="8"/>
    </row>
    <row r="18" spans="1:9" x14ac:dyDescent="0.3">
      <c r="A18" s="7" t="s">
        <v>346</v>
      </c>
      <c r="B18" s="8"/>
      <c r="C18" s="8"/>
      <c r="D18" s="8"/>
      <c r="E18" s="8"/>
      <c r="F18" s="8"/>
      <c r="G18" s="8"/>
      <c r="H18" s="8"/>
      <c r="I18" s="8"/>
    </row>
    <row r="19" spans="1:9" x14ac:dyDescent="0.3">
      <c r="A19" s="7" t="s">
        <v>347</v>
      </c>
      <c r="B19" s="8"/>
      <c r="C19" s="8"/>
      <c r="D19" s="8"/>
      <c r="E19" s="8"/>
      <c r="F19" s="8"/>
      <c r="G19" s="8"/>
      <c r="H19" s="8"/>
      <c r="I19" s="8"/>
    </row>
    <row r="20" spans="1:9" x14ac:dyDescent="0.3">
      <c r="A20" s="7" t="s">
        <v>348</v>
      </c>
      <c r="B20" s="8"/>
      <c r="C20" s="8"/>
      <c r="D20" s="8"/>
      <c r="E20" s="8"/>
      <c r="F20" s="8"/>
      <c r="G20" s="8"/>
      <c r="H20" s="8"/>
      <c r="I20" s="8"/>
    </row>
    <row r="21" spans="1:9" x14ac:dyDescent="0.3">
      <c r="A21" s="7" t="s">
        <v>349</v>
      </c>
      <c r="B21" s="8"/>
      <c r="C21" s="8"/>
      <c r="D21" s="8"/>
      <c r="E21" s="8"/>
      <c r="F21" s="8"/>
      <c r="G21" s="8"/>
      <c r="H21" s="8"/>
      <c r="I21" s="8"/>
    </row>
    <row r="22" spans="1:9" x14ac:dyDescent="0.3">
      <c r="A22" s="7" t="s">
        <v>350</v>
      </c>
      <c r="B22" s="8"/>
      <c r="C22" s="8"/>
      <c r="D22" s="8"/>
      <c r="E22" s="8"/>
      <c r="F22" s="8"/>
      <c r="G22" s="8"/>
      <c r="H22" s="8"/>
      <c r="I22" s="8"/>
    </row>
    <row r="23" spans="1:9" x14ac:dyDescent="0.3">
      <c r="A23" s="7" t="s">
        <v>351</v>
      </c>
      <c r="B23" s="8"/>
      <c r="C23" s="8"/>
      <c r="D23" s="8"/>
      <c r="E23" s="8"/>
      <c r="F23" s="8"/>
      <c r="G23" s="8"/>
      <c r="H23" s="8"/>
      <c r="I23" s="8"/>
    </row>
    <row r="24" spans="1:9" x14ac:dyDescent="0.3">
      <c r="A24" s="7" t="s">
        <v>352</v>
      </c>
      <c r="B24" s="8"/>
      <c r="C24" s="8"/>
      <c r="D24" s="8"/>
      <c r="E24" s="8"/>
      <c r="F24" s="8"/>
      <c r="G24" s="8"/>
      <c r="H24" s="8"/>
      <c r="I24" s="8"/>
    </row>
    <row r="25" spans="1:9" x14ac:dyDescent="0.3">
      <c r="A25" s="7" t="s">
        <v>353</v>
      </c>
      <c r="B25" s="8"/>
      <c r="C25" s="8"/>
      <c r="D25" s="8"/>
      <c r="E25" s="8"/>
      <c r="F25" s="8"/>
      <c r="G25" s="8"/>
      <c r="H25" s="8"/>
      <c r="I25" s="8"/>
    </row>
  </sheetData>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ErrorMessage="1" errorTitle="Valor inválido" error="Escolha um valor da lista." xr:uid="{00000000-0002-0000-0900-000000000000}">
          <x14:formula1>
            <xm:f>Listas!$M$2:$M$12</xm:f>
          </x14:formula1>
          <x14:formula2>
            <xm:f>0</xm:f>
          </x14:formula2>
          <xm:sqref>B6:B25</xm:sqref>
        </x14:dataValidation>
        <x14:dataValidation type="list" allowBlank="1" showErrorMessage="1" errorTitle="Valor inválido" error="Escolha um valor da lista." xr:uid="{00000000-0002-0000-0900-000001000000}">
          <x14:formula1>
            <xm:f>Listas!$A$2:$A$22</xm:f>
          </x14:formula1>
          <x14:formula2>
            <xm:f>0</xm:f>
          </x14:formula2>
          <xm:sqref>D6:D25</xm:sqref>
        </x14:dataValidation>
        <x14:dataValidation type="list" allowBlank="1" showErrorMessage="1" errorTitle="Valor inválido" error="Escolha um valor da lista." xr:uid="{00000000-0002-0000-0900-000002000000}">
          <x14:formula1>
            <xm:f>Listas!$E$2:$E$5</xm:f>
          </x14:formula1>
          <x14:formula2>
            <xm:f>0</xm:f>
          </x14:formula2>
          <xm:sqref>H6:H25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7"/>
  <sheetViews>
    <sheetView showGridLines="0" zoomScaleNormal="100" workbookViewId="0">
      <pane xSplit="1" ySplit="4" topLeftCell="B5" activePane="bottomRight" state="frozen"/>
      <selection pane="topRight" activeCell="B1" sqref="B1"/>
      <selection pane="bottomLeft" activeCell="A5" sqref="A5"/>
      <selection pane="bottomRight"/>
    </sheetView>
  </sheetViews>
  <sheetFormatPr defaultColWidth="8.6640625" defaultRowHeight="14.4" x14ac:dyDescent="0.3"/>
  <cols>
    <col min="1" max="1" width="9" customWidth="1"/>
    <col min="2" max="2" width="12" customWidth="1"/>
    <col min="3" max="3" width="16" customWidth="1"/>
    <col min="4" max="4" width="20" customWidth="1"/>
    <col min="5" max="5" width="36" customWidth="1"/>
    <col min="6" max="6" width="40" customWidth="1"/>
    <col min="7" max="8" width="16" customWidth="1"/>
    <col min="9" max="10" width="14" customWidth="1"/>
    <col min="11" max="11" width="12" customWidth="1"/>
    <col min="12" max="12" width="14" customWidth="1"/>
  </cols>
  <sheetData>
    <row r="1" spans="1:12" ht="17.399999999999999" x14ac:dyDescent="0.3">
      <c r="A1" s="1" t="s">
        <v>354</v>
      </c>
    </row>
    <row r="2" spans="1:12" x14ac:dyDescent="0.3">
      <c r="A2" s="2" t="s">
        <v>355</v>
      </c>
    </row>
    <row r="4" spans="1:12" ht="31.5" customHeight="1" x14ac:dyDescent="0.3">
      <c r="A4" s="10" t="s">
        <v>64</v>
      </c>
      <c r="B4" s="10" t="s">
        <v>356</v>
      </c>
      <c r="C4" s="10" t="s">
        <v>357</v>
      </c>
      <c r="D4" s="10" t="s">
        <v>289</v>
      </c>
      <c r="E4" s="10" t="s">
        <v>358</v>
      </c>
      <c r="F4" s="10" t="s">
        <v>359</v>
      </c>
      <c r="G4" s="10" t="s">
        <v>360</v>
      </c>
      <c r="H4" s="10" t="s">
        <v>361</v>
      </c>
      <c r="I4" s="10" t="s">
        <v>362</v>
      </c>
      <c r="J4" s="10" t="s">
        <v>363</v>
      </c>
      <c r="K4" s="10" t="s">
        <v>364</v>
      </c>
      <c r="L4" s="10" t="s">
        <v>365</v>
      </c>
    </row>
    <row r="5" spans="1:12" ht="60" customHeight="1" x14ac:dyDescent="0.3">
      <c r="A5" s="7" t="s">
        <v>366</v>
      </c>
      <c r="B5" s="8"/>
      <c r="C5" s="8"/>
      <c r="D5" s="8"/>
      <c r="E5" s="8"/>
      <c r="F5" s="8"/>
      <c r="G5" s="8"/>
      <c r="H5" s="8"/>
      <c r="I5" s="8"/>
      <c r="J5" s="8"/>
      <c r="K5" s="8"/>
      <c r="L5" s="8"/>
    </row>
    <row r="6" spans="1:12" ht="60" customHeight="1" x14ac:dyDescent="0.3">
      <c r="A6" s="7" t="s">
        <v>367</v>
      </c>
      <c r="B6" s="8"/>
      <c r="C6" s="8"/>
      <c r="D6" s="8"/>
      <c r="E6" s="8"/>
      <c r="F6" s="8"/>
      <c r="G6" s="8"/>
      <c r="H6" s="8"/>
      <c r="I6" s="8"/>
      <c r="J6" s="8"/>
      <c r="K6" s="8"/>
      <c r="L6" s="8"/>
    </row>
    <row r="7" spans="1:12" ht="60" customHeight="1" x14ac:dyDescent="0.3">
      <c r="A7" s="7" t="s">
        <v>368</v>
      </c>
      <c r="B7" s="8"/>
      <c r="C7" s="8"/>
      <c r="D7" s="8"/>
      <c r="E7" s="8"/>
      <c r="F7" s="8"/>
      <c r="G7" s="8"/>
      <c r="H7" s="8"/>
      <c r="I7" s="8"/>
      <c r="J7" s="8"/>
      <c r="K7" s="8"/>
      <c r="L7" s="8"/>
    </row>
  </sheetData>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ErrorMessage="1" errorTitle="Valor inválido" error="Escolha um valor da lista." xr:uid="{00000000-0002-0000-0A00-000000000000}">
          <x14:formula1>
            <xm:f>Listas!$E$2:$E$5</xm:f>
          </x14:formula1>
          <x14:formula2>
            <xm:f>0</xm:f>
          </x14:formula2>
          <xm:sqref>H5:H7</xm:sqref>
        </x14:dataValidation>
        <x14:dataValidation type="list" allowBlank="1" showErrorMessage="1" errorTitle="Valor inválido" error="Escolha um valor da lista." xr:uid="{00000000-0002-0000-0A00-000001000000}">
          <x14:formula1>
            <xm:f>Listas!$I$2:$I$3</xm:f>
          </x14:formula1>
          <x14:formula2>
            <xm:f>0</xm:f>
          </x14:formula2>
          <xm:sqref>K5:K7</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33"/>
  <sheetViews>
    <sheetView showGridLines="0" topLeftCell="A19" zoomScaleNormal="100" workbookViewId="0"/>
  </sheetViews>
  <sheetFormatPr defaultColWidth="8.6640625" defaultRowHeight="14.4" x14ac:dyDescent="0.3"/>
  <cols>
    <col min="1" max="1" width="44" customWidth="1"/>
    <col min="2" max="2" width="16" customWidth="1"/>
    <col min="3" max="3" width="90" customWidth="1"/>
  </cols>
  <sheetData>
    <row r="1" spans="1:2" ht="17.399999999999999" x14ac:dyDescent="0.3">
      <c r="A1" s="1" t="s">
        <v>369</v>
      </c>
    </row>
    <row r="2" spans="1:2" x14ac:dyDescent="0.3">
      <c r="A2" s="2" t="s">
        <v>370</v>
      </c>
    </row>
    <row r="4" spans="1:2" x14ac:dyDescent="0.3">
      <c r="A4" s="15" t="s">
        <v>371</v>
      </c>
      <c r="B4" s="16"/>
    </row>
    <row r="5" spans="1:2" x14ac:dyDescent="0.3">
      <c r="A5" s="17" t="s">
        <v>372</v>
      </c>
      <c r="B5" s="18">
        <f>COUNTA('5_Casos_de_Teste'!G6:G45)</f>
        <v>6</v>
      </c>
    </row>
    <row r="6" spans="1:2" x14ac:dyDescent="0.3">
      <c r="A6" s="17" t="s">
        <v>373</v>
      </c>
      <c r="B6" s="18">
        <f>COUNTIF('5_Casos_de_Teste'!M6:M45,"Passou")</f>
        <v>0</v>
      </c>
    </row>
    <row r="7" spans="1:2" x14ac:dyDescent="0.3">
      <c r="A7" s="17" t="s">
        <v>374</v>
      </c>
      <c r="B7" s="18">
        <f>COUNTIF('5_Casos_de_Teste'!M6:M45,"Falhou")</f>
        <v>5</v>
      </c>
    </row>
    <row r="8" spans="1:2" x14ac:dyDescent="0.3">
      <c r="A8" s="17" t="s">
        <v>375</v>
      </c>
      <c r="B8" s="18">
        <f>COUNTIF('5_Casos_de_Teste'!M6:M45,"Bloqueado")</f>
        <v>0</v>
      </c>
    </row>
    <row r="9" spans="1:2" x14ac:dyDescent="0.3">
      <c r="A9" s="17" t="s">
        <v>376</v>
      </c>
      <c r="B9" s="18">
        <f>COUNTIF('5_Casos_de_Teste'!M6:M45,"Não executado")</f>
        <v>1</v>
      </c>
    </row>
    <row r="10" spans="1:2" x14ac:dyDescent="0.3">
      <c r="A10" s="17" t="s">
        <v>377</v>
      </c>
      <c r="B10" s="19">
        <f>IFERROR(B6/(B6+B7+B8),0)</f>
        <v>0</v>
      </c>
    </row>
    <row r="11" spans="1:2" x14ac:dyDescent="0.3">
      <c r="A11" s="17" t="s">
        <v>378</v>
      </c>
      <c r="B11" s="18">
        <f>COUNTIF('5_Casos_de_Teste'!D6:D45,"Valor limite")</f>
        <v>1</v>
      </c>
    </row>
    <row r="12" spans="1:2" x14ac:dyDescent="0.3">
      <c r="A12" s="17" t="s">
        <v>379</v>
      </c>
      <c r="B12" s="18">
        <f>COUNTA('6_Bugs'!B6:B35)</f>
        <v>6</v>
      </c>
    </row>
    <row r="13" spans="1:2" x14ac:dyDescent="0.3">
      <c r="A13" s="17" t="s">
        <v>380</v>
      </c>
      <c r="B13" s="18">
        <f>COUNTIF('6_Bugs'!G6:G35,"Crítica")</f>
        <v>1</v>
      </c>
    </row>
    <row r="14" spans="1:2" x14ac:dyDescent="0.3">
      <c r="A14" s="17" t="s">
        <v>381</v>
      </c>
      <c r="B14" s="18">
        <f>COUNTIF('6_Bugs'!G6:G35,"Alta")</f>
        <v>2</v>
      </c>
    </row>
    <row r="15" spans="1:2" x14ac:dyDescent="0.3">
      <c r="A15" s="17" t="s">
        <v>382</v>
      </c>
      <c r="B15" s="18">
        <f>COUNTIF('6_Bugs'!G6:G35,"Média")</f>
        <v>1</v>
      </c>
    </row>
    <row r="16" spans="1:2" x14ac:dyDescent="0.3">
      <c r="A16" s="17" t="s">
        <v>383</v>
      </c>
      <c r="B16" s="18">
        <f>COUNTIF('6_Bugs'!G6:G35,"Baixa")</f>
        <v>2</v>
      </c>
    </row>
    <row r="17" spans="1:4" x14ac:dyDescent="0.3">
      <c r="A17" s="17" t="s">
        <v>384</v>
      </c>
      <c r="B17" s="18">
        <f>COUNTIF('6_Bugs'!N6:N35,"Corrigido*")</f>
        <v>0</v>
      </c>
    </row>
    <row r="18" spans="1:4" x14ac:dyDescent="0.3">
      <c r="A18" s="17" t="s">
        <v>385</v>
      </c>
      <c r="B18" s="18">
        <f>COUNTA('7_Nao_Funcionais'!H6:H20)</f>
        <v>0</v>
      </c>
    </row>
    <row r="19" spans="1:4" x14ac:dyDescent="0.3">
      <c r="A19" s="17" t="s">
        <v>386</v>
      </c>
      <c r="B19" s="18">
        <f>COUNTIF('7_Nao_Funcionais'!H6:H20,"Falhou")</f>
        <v>0</v>
      </c>
    </row>
    <row r="20" spans="1:4" x14ac:dyDescent="0.3">
      <c r="A20" s="17" t="s">
        <v>387</v>
      </c>
      <c r="B20" s="18">
        <f>COUNTA('8_Caixa_Branca'!C6:C25)</f>
        <v>0</v>
      </c>
    </row>
    <row r="21" spans="1:4" x14ac:dyDescent="0.3">
      <c r="A21" s="17" t="s">
        <v>388</v>
      </c>
      <c r="B21" s="18">
        <f>COUNTA('9_Automacao'!E6:E25)</f>
        <v>0</v>
      </c>
    </row>
    <row r="22" spans="1:4" x14ac:dyDescent="0.3">
      <c r="A22" s="17" t="s">
        <v>389</v>
      </c>
      <c r="B22" s="18">
        <f>COUNTIF('9_Automacao'!H6:H25,"Passou")</f>
        <v>0</v>
      </c>
    </row>
    <row r="23" spans="1:4" x14ac:dyDescent="0.3">
      <c r="A23" s="17" t="s">
        <v>390</v>
      </c>
      <c r="B23" s="18">
        <f>COUNTIF('9_Automacao'!H6:H25,"Falhou")</f>
        <v>0</v>
      </c>
    </row>
    <row r="25" spans="1:4" x14ac:dyDescent="0.3">
      <c r="A25" s="15" t="s">
        <v>391</v>
      </c>
      <c r="B25" s="16"/>
      <c r="C25" s="16"/>
    </row>
    <row r="26" spans="1:4" ht="48" customHeight="1" x14ac:dyDescent="0.3">
      <c r="A26" s="7" t="s">
        <v>392</v>
      </c>
      <c r="B26" s="22"/>
      <c r="C26" s="22"/>
      <c r="D26" s="9" t="s">
        <v>393</v>
      </c>
    </row>
    <row r="27" spans="1:4" ht="48" customHeight="1" x14ac:dyDescent="0.3">
      <c r="A27" s="7" t="s">
        <v>394</v>
      </c>
      <c r="B27" s="22"/>
      <c r="C27" s="22"/>
    </row>
    <row r="28" spans="1:4" ht="48" customHeight="1" x14ac:dyDescent="0.3">
      <c r="A28" s="7" t="s">
        <v>395</v>
      </c>
      <c r="B28" s="22"/>
      <c r="C28" s="22"/>
    </row>
    <row r="29" spans="1:4" ht="48" customHeight="1" x14ac:dyDescent="0.3">
      <c r="A29" s="7" t="s">
        <v>396</v>
      </c>
      <c r="B29" s="22"/>
      <c r="C29" s="22"/>
    </row>
    <row r="30" spans="1:4" ht="18" customHeight="1" x14ac:dyDescent="0.3">
      <c r="A30" s="7" t="s">
        <v>397</v>
      </c>
      <c r="B30" s="22"/>
      <c r="C30" s="22"/>
      <c r="D30" s="9" t="s">
        <v>398</v>
      </c>
    </row>
    <row r="31" spans="1:4" ht="48" customHeight="1" x14ac:dyDescent="0.3">
      <c r="A31" s="7" t="s">
        <v>399</v>
      </c>
      <c r="B31" s="22"/>
      <c r="C31" s="22"/>
      <c r="D31" s="9" t="s">
        <v>400</v>
      </c>
    </row>
    <row r="32" spans="1:4" ht="48" customHeight="1" x14ac:dyDescent="0.3">
      <c r="A32" s="7" t="s">
        <v>401</v>
      </c>
      <c r="B32" s="22"/>
      <c r="C32" s="22"/>
    </row>
    <row r="33" spans="1:3" ht="48" customHeight="1" x14ac:dyDescent="0.3">
      <c r="A33" s="7" t="s">
        <v>402</v>
      </c>
      <c r="B33" s="22"/>
      <c r="C33" s="22"/>
    </row>
  </sheetData>
  <mergeCells count="8">
    <mergeCell ref="B31:C31"/>
    <mergeCell ref="B32:C32"/>
    <mergeCell ref="B33:C33"/>
    <mergeCell ref="B26:C26"/>
    <mergeCell ref="B27:C27"/>
    <mergeCell ref="B28:C28"/>
    <mergeCell ref="B29:C29"/>
    <mergeCell ref="B30:C30"/>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ErrorMessage="1" errorTitle="Valor inválido" error="Escolha um valor da lista." xr:uid="{00000000-0002-0000-0B00-000000000000}">
          <x14:formula1>
            <xm:f>Listas!$L$2:$L$4</xm:f>
          </x14:formula1>
          <x14:formula2>
            <xm:f>0</xm:f>
          </x14:formula2>
          <xm:sqref>B30</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14"/>
  <sheetViews>
    <sheetView showGridLines="0" zoomScaleNormal="100" workbookViewId="0">
      <pane xSplit="1" ySplit="4" topLeftCell="B5" activePane="bottomRight" state="frozen"/>
      <selection pane="topRight" activeCell="B1" sqref="B1"/>
      <selection pane="bottomLeft" activeCell="A5" sqref="A5"/>
      <selection pane="bottomRight"/>
    </sheetView>
  </sheetViews>
  <sheetFormatPr defaultColWidth="8.6640625" defaultRowHeight="14.4" x14ac:dyDescent="0.3"/>
  <cols>
    <col min="1" max="1" width="8" customWidth="1"/>
    <col min="2" max="2" width="9" customWidth="1"/>
    <col min="3" max="3" width="16" customWidth="1"/>
    <col min="4" max="4" width="50" customWidth="1"/>
    <col min="5" max="5" width="40" customWidth="1"/>
    <col min="6" max="6" width="36" customWidth="1"/>
    <col min="7" max="7" width="40" customWidth="1"/>
  </cols>
  <sheetData>
    <row r="1" spans="1:7" ht="17.399999999999999" x14ac:dyDescent="0.3">
      <c r="A1" s="1" t="s">
        <v>403</v>
      </c>
    </row>
    <row r="2" spans="1:7" x14ac:dyDescent="0.3">
      <c r="A2" s="2" t="s">
        <v>404</v>
      </c>
    </row>
    <row r="4" spans="1:7" ht="31.5" customHeight="1" x14ac:dyDescent="0.3">
      <c r="A4" s="10" t="s">
        <v>64</v>
      </c>
      <c r="B4" s="10" t="s">
        <v>217</v>
      </c>
      <c r="C4" s="10" t="s">
        <v>405</v>
      </c>
      <c r="D4" s="10" t="s">
        <v>406</v>
      </c>
      <c r="E4" s="10" t="s">
        <v>407</v>
      </c>
      <c r="F4" s="10" t="s">
        <v>408</v>
      </c>
      <c r="G4" s="10" t="s">
        <v>409</v>
      </c>
    </row>
    <row r="5" spans="1:7" x14ac:dyDescent="0.3">
      <c r="A5" s="7" t="s">
        <v>410</v>
      </c>
      <c r="B5" s="8"/>
      <c r="C5" s="8"/>
      <c r="D5" s="8"/>
      <c r="E5" s="8"/>
      <c r="F5" s="8"/>
      <c r="G5" s="8"/>
    </row>
    <row r="6" spans="1:7" x14ac:dyDescent="0.3">
      <c r="A6" s="7" t="s">
        <v>411</v>
      </c>
      <c r="B6" s="8"/>
      <c r="C6" s="8"/>
      <c r="D6" s="8"/>
      <c r="E6" s="8"/>
      <c r="F6" s="8"/>
      <c r="G6" s="8"/>
    </row>
    <row r="7" spans="1:7" x14ac:dyDescent="0.3">
      <c r="A7" s="7" t="s">
        <v>412</v>
      </c>
      <c r="B7" s="8"/>
      <c r="C7" s="8"/>
      <c r="D7" s="8"/>
      <c r="E7" s="8"/>
      <c r="F7" s="8"/>
      <c r="G7" s="8"/>
    </row>
    <row r="8" spans="1:7" x14ac:dyDescent="0.3">
      <c r="A8" s="7" t="s">
        <v>413</v>
      </c>
      <c r="B8" s="8"/>
      <c r="C8" s="8"/>
      <c r="D8" s="8"/>
      <c r="E8" s="8"/>
      <c r="F8" s="8"/>
      <c r="G8" s="8"/>
    </row>
    <row r="9" spans="1:7" x14ac:dyDescent="0.3">
      <c r="A9" s="7" t="s">
        <v>414</v>
      </c>
      <c r="B9" s="8"/>
      <c r="C9" s="8"/>
      <c r="D9" s="8"/>
      <c r="E9" s="8"/>
      <c r="F9" s="8"/>
      <c r="G9" s="8"/>
    </row>
    <row r="10" spans="1:7" x14ac:dyDescent="0.3">
      <c r="A10" s="7" t="s">
        <v>415</v>
      </c>
      <c r="B10" s="8"/>
      <c r="C10" s="8"/>
      <c r="D10" s="8"/>
      <c r="E10" s="8"/>
      <c r="F10" s="8"/>
      <c r="G10" s="8"/>
    </row>
    <row r="11" spans="1:7" x14ac:dyDescent="0.3">
      <c r="A11" s="7" t="s">
        <v>416</v>
      </c>
      <c r="B11" s="8"/>
      <c r="C11" s="8"/>
      <c r="D11" s="8"/>
      <c r="E11" s="8"/>
      <c r="F11" s="8"/>
      <c r="G11" s="8"/>
    </row>
    <row r="12" spans="1:7" x14ac:dyDescent="0.3">
      <c r="A12" s="7" t="s">
        <v>417</v>
      </c>
      <c r="B12" s="8"/>
      <c r="C12" s="8"/>
      <c r="D12" s="8"/>
      <c r="E12" s="8"/>
      <c r="F12" s="8"/>
      <c r="G12" s="8"/>
    </row>
    <row r="13" spans="1:7" x14ac:dyDescent="0.3">
      <c r="A13" s="7" t="s">
        <v>418</v>
      </c>
      <c r="B13" s="8"/>
      <c r="C13" s="8"/>
      <c r="D13" s="8"/>
      <c r="E13" s="8"/>
      <c r="F13" s="8"/>
      <c r="G13" s="8"/>
    </row>
    <row r="14" spans="1:7" x14ac:dyDescent="0.3">
      <c r="A14" s="7" t="s">
        <v>419</v>
      </c>
      <c r="B14" s="8"/>
      <c r="C14" s="8"/>
      <c r="D14" s="8"/>
      <c r="E14" s="8"/>
      <c r="F14" s="8"/>
      <c r="G14" s="8"/>
    </row>
  </sheetData>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ErrorMessage="1" errorTitle="Valor inválido" error="Escolha um valor da lista." xr:uid="{00000000-0002-0000-0C00-000000000000}">
          <x14:formula1>
            <xm:f>Listas!$N$2:$N$8</xm:f>
          </x14:formula1>
          <x14:formula2>
            <xm:f>0</xm:f>
          </x14:formula2>
          <xm:sqref>B5:B14</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P22"/>
  <sheetViews>
    <sheetView zoomScaleNormal="100" workbookViewId="0"/>
  </sheetViews>
  <sheetFormatPr defaultColWidth="8.6640625" defaultRowHeight="14.4" x14ac:dyDescent="0.3"/>
  <sheetData>
    <row r="1" spans="1:16" x14ac:dyDescent="0.3">
      <c r="A1" s="5" t="s">
        <v>88</v>
      </c>
      <c r="B1" s="5" t="s">
        <v>420</v>
      </c>
      <c r="C1" s="5" t="s">
        <v>421</v>
      </c>
      <c r="D1" s="5" t="s">
        <v>422</v>
      </c>
      <c r="E1" s="5" t="s">
        <v>155</v>
      </c>
      <c r="F1" s="5" t="s">
        <v>38</v>
      </c>
      <c r="G1" s="5" t="s">
        <v>213</v>
      </c>
      <c r="H1" s="5" t="s">
        <v>423</v>
      </c>
      <c r="I1" s="5" t="s">
        <v>424</v>
      </c>
      <c r="J1" s="5" t="s">
        <v>425</v>
      </c>
      <c r="K1" s="5" t="s">
        <v>84</v>
      </c>
      <c r="L1" s="5" t="s">
        <v>426</v>
      </c>
      <c r="M1" s="5" t="s">
        <v>427</v>
      </c>
      <c r="N1" s="5" t="s">
        <v>428</v>
      </c>
      <c r="O1" s="5" t="s">
        <v>429</v>
      </c>
      <c r="P1" s="5" t="s">
        <v>430</v>
      </c>
    </row>
    <row r="2" spans="1:16" x14ac:dyDescent="0.3">
      <c r="A2" s="6" t="s">
        <v>431</v>
      </c>
      <c r="B2" s="6" t="s">
        <v>160</v>
      </c>
      <c r="C2" s="6" t="s">
        <v>133</v>
      </c>
      <c r="D2" s="6" t="s">
        <v>432</v>
      </c>
      <c r="E2" s="6" t="s">
        <v>168</v>
      </c>
      <c r="F2" s="6" t="s">
        <v>39</v>
      </c>
      <c r="G2" s="6" t="s">
        <v>41</v>
      </c>
      <c r="H2" s="6" t="s">
        <v>227</v>
      </c>
      <c r="I2" s="6" t="s">
        <v>433</v>
      </c>
      <c r="J2" s="6" t="s">
        <v>434</v>
      </c>
      <c r="K2" s="6" t="s">
        <v>435</v>
      </c>
      <c r="L2" s="6" t="s">
        <v>436</v>
      </c>
      <c r="M2" s="6" t="s">
        <v>437</v>
      </c>
      <c r="N2" s="6" t="s">
        <v>438</v>
      </c>
      <c r="O2" s="6" t="s">
        <v>439</v>
      </c>
      <c r="P2" s="6" t="s">
        <v>440</v>
      </c>
    </row>
    <row r="3" spans="1:16" x14ac:dyDescent="0.3">
      <c r="A3" s="6" t="s">
        <v>441</v>
      </c>
      <c r="B3" s="6" t="s">
        <v>442</v>
      </c>
      <c r="C3" s="6" t="s">
        <v>144</v>
      </c>
      <c r="D3" s="6" t="s">
        <v>443</v>
      </c>
      <c r="E3" s="6" t="s">
        <v>444</v>
      </c>
      <c r="F3" s="6" t="s">
        <v>41</v>
      </c>
      <c r="G3" s="6" t="s">
        <v>43</v>
      </c>
      <c r="H3" s="6" t="s">
        <v>445</v>
      </c>
      <c r="I3" s="6" t="s">
        <v>446</v>
      </c>
      <c r="J3" s="6" t="s">
        <v>444</v>
      </c>
      <c r="K3" s="6" t="s">
        <v>447</v>
      </c>
      <c r="L3" s="6" t="s">
        <v>448</v>
      </c>
      <c r="M3" s="6" t="s">
        <v>449</v>
      </c>
      <c r="N3" s="6" t="s">
        <v>450</v>
      </c>
      <c r="O3" s="6" t="s">
        <v>96</v>
      </c>
      <c r="P3" s="6" t="s">
        <v>451</v>
      </c>
    </row>
    <row r="4" spans="1:16" x14ac:dyDescent="0.3">
      <c r="A4" s="6" t="s">
        <v>452</v>
      </c>
      <c r="B4" s="6" t="s">
        <v>453</v>
      </c>
      <c r="C4" s="6" t="s">
        <v>134</v>
      </c>
      <c r="D4" s="6" t="s">
        <v>161</v>
      </c>
      <c r="E4" s="6" t="s">
        <v>454</v>
      </c>
      <c r="F4" s="6" t="s">
        <v>43</v>
      </c>
      <c r="G4" s="6" t="s">
        <v>45</v>
      </c>
      <c r="H4" s="6" t="s">
        <v>455</v>
      </c>
      <c r="L4" s="6" t="s">
        <v>456</v>
      </c>
      <c r="M4" s="6" t="s">
        <v>457</v>
      </c>
      <c r="N4" s="6" t="s">
        <v>228</v>
      </c>
      <c r="O4" s="6" t="s">
        <v>458</v>
      </c>
      <c r="P4" s="6" t="s">
        <v>459</v>
      </c>
    </row>
    <row r="5" spans="1:16" x14ac:dyDescent="0.3">
      <c r="A5" s="6" t="s">
        <v>460</v>
      </c>
      <c r="B5" s="6" t="s">
        <v>461</v>
      </c>
      <c r="C5" s="6" t="s">
        <v>135</v>
      </c>
      <c r="D5" s="6" t="s">
        <v>144</v>
      </c>
      <c r="E5" s="6" t="s">
        <v>462</v>
      </c>
      <c r="F5" s="6" t="s">
        <v>45</v>
      </c>
      <c r="H5" s="6" t="s">
        <v>463</v>
      </c>
      <c r="M5" s="6" t="s">
        <v>464</v>
      </c>
      <c r="N5" s="6" t="s">
        <v>465</v>
      </c>
      <c r="O5" s="6" t="s">
        <v>466</v>
      </c>
    </row>
    <row r="6" spans="1:16" x14ac:dyDescent="0.3">
      <c r="A6" s="6" t="s">
        <v>467</v>
      </c>
      <c r="B6" s="6" t="s">
        <v>136</v>
      </c>
      <c r="C6" s="6" t="s">
        <v>425</v>
      </c>
      <c r="M6" s="6" t="s">
        <v>468</v>
      </c>
      <c r="N6" s="6" t="s">
        <v>469</v>
      </c>
    </row>
    <row r="7" spans="1:16" x14ac:dyDescent="0.3">
      <c r="A7" s="6" t="s">
        <v>470</v>
      </c>
      <c r="B7" s="6" t="s">
        <v>471</v>
      </c>
      <c r="C7" s="6" t="s">
        <v>136</v>
      </c>
      <c r="M7" s="6" t="s">
        <v>472</v>
      </c>
      <c r="N7" s="6" t="s">
        <v>473</v>
      </c>
    </row>
    <row r="8" spans="1:16" x14ac:dyDescent="0.3">
      <c r="A8" s="6" t="s">
        <v>474</v>
      </c>
      <c r="B8" s="6" t="s">
        <v>475</v>
      </c>
      <c r="C8" s="6" t="s">
        <v>137</v>
      </c>
      <c r="M8" s="6" t="s">
        <v>476</v>
      </c>
      <c r="N8" s="6" t="s">
        <v>477</v>
      </c>
    </row>
    <row r="9" spans="1:16" x14ac:dyDescent="0.3">
      <c r="A9" s="6" t="s">
        <v>478</v>
      </c>
      <c r="B9" s="6" t="s">
        <v>479</v>
      </c>
      <c r="C9" s="6" t="s">
        <v>138</v>
      </c>
      <c r="M9" s="6" t="s">
        <v>295</v>
      </c>
    </row>
    <row r="10" spans="1:16" x14ac:dyDescent="0.3">
      <c r="A10" s="6" t="s">
        <v>480</v>
      </c>
      <c r="C10" s="6" t="s">
        <v>139</v>
      </c>
      <c r="M10" s="6" t="s">
        <v>481</v>
      </c>
    </row>
    <row r="11" spans="1:16" x14ac:dyDescent="0.3">
      <c r="A11" s="6" t="s">
        <v>220</v>
      </c>
      <c r="C11" s="6" t="s">
        <v>140</v>
      </c>
      <c r="M11" s="6" t="s">
        <v>330</v>
      </c>
    </row>
    <row r="12" spans="1:16" x14ac:dyDescent="0.3">
      <c r="A12" s="6" t="s">
        <v>482</v>
      </c>
      <c r="C12" s="6" t="s">
        <v>141</v>
      </c>
      <c r="M12" s="6" t="s">
        <v>483</v>
      </c>
    </row>
    <row r="13" spans="1:16" x14ac:dyDescent="0.3">
      <c r="A13" s="6" t="s">
        <v>484</v>
      </c>
      <c r="C13" s="6" t="s">
        <v>142</v>
      </c>
    </row>
    <row r="14" spans="1:16" x14ac:dyDescent="0.3">
      <c r="A14" s="6" t="s">
        <v>94</v>
      </c>
      <c r="C14" s="6" t="s">
        <v>143</v>
      </c>
    </row>
    <row r="15" spans="1:16" x14ac:dyDescent="0.3">
      <c r="A15" s="6" t="s">
        <v>485</v>
      </c>
      <c r="C15" s="6" t="s">
        <v>486</v>
      </c>
    </row>
    <row r="16" spans="1:16" x14ac:dyDescent="0.3">
      <c r="A16" s="6" t="s">
        <v>487</v>
      </c>
    </row>
    <row r="17" spans="1:1" x14ac:dyDescent="0.3">
      <c r="A17" s="6" t="s">
        <v>488</v>
      </c>
    </row>
    <row r="18" spans="1:1" x14ac:dyDescent="0.3">
      <c r="A18" s="6" t="s">
        <v>266</v>
      </c>
    </row>
    <row r="19" spans="1:1" x14ac:dyDescent="0.3">
      <c r="A19" s="6" t="s">
        <v>489</v>
      </c>
    </row>
    <row r="20" spans="1:1" x14ac:dyDescent="0.3">
      <c r="A20" s="6" t="s">
        <v>490</v>
      </c>
    </row>
    <row r="21" spans="1:1" x14ac:dyDescent="0.3">
      <c r="A21" s="6" t="s">
        <v>491</v>
      </c>
    </row>
    <row r="22" spans="1:1" x14ac:dyDescent="0.3">
      <c r="A22" s="6" t="s">
        <v>492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Planilhas</vt:lpstr>
      </vt:variant>
      <vt:variant>
        <vt:i4>14</vt:i4>
      </vt:variant>
    </vt:vector>
  </HeadingPairs>
  <TitlesOfParts>
    <vt:vector size="14" baseType="lpstr">
      <vt:lpstr>0_Instrucoes</vt:lpstr>
      <vt:lpstr>1_Identificacao</vt:lpstr>
      <vt:lpstr>2_Smoke_Test</vt:lpstr>
      <vt:lpstr>3_Revisao_Estatica</vt:lpstr>
      <vt:lpstr>4_Plano_de_Testes</vt:lpstr>
      <vt:lpstr>5_Casos_de_Teste</vt:lpstr>
      <vt:lpstr>6_Bugs</vt:lpstr>
      <vt:lpstr>7_Nao_Funcionais</vt:lpstr>
      <vt:lpstr>8_Caixa_Branca</vt:lpstr>
      <vt:lpstr>9_Automacao</vt:lpstr>
      <vt:lpstr>10_Correcao</vt:lpstr>
      <vt:lpstr>11_Relatorio_Final</vt:lpstr>
      <vt:lpstr>12_Uso_de_IA</vt:lpstr>
      <vt:lpstr>Listas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Aluno</cp:lastModifiedBy>
  <cp:revision>0</cp:revision>
  <dcterms:created xsi:type="dcterms:W3CDTF">2026-10-28T21:26:22Z</dcterms:created>
  <dcterms:modified xsi:type="dcterms:W3CDTF">2026-10-31T00:32:38Z</dcterms:modified>
  <dc:language>en-US</dc:language>
</cp:coreProperties>
</file>